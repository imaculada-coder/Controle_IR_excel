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imaculadasaqueto/Downloads/"/>
    </mc:Choice>
  </mc:AlternateContent>
  <xr:revisionPtr revIDLastSave="0" documentId="13_ncr:1_{833C94C0-B5A7-9042-83D4-2880C31E39E9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Início" sheetId="6" r:id="rId1"/>
    <sheet name="Transações" sheetId="3" r:id="rId2"/>
    <sheet name="Dados Pessoais" sheetId="1" r:id="rId3"/>
    <sheet name="INFORMES" sheetId="2" r:id="rId4"/>
    <sheet name="Relatórios" sheetId="7" r:id="rId5"/>
    <sheet name="TABELA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6" l="1"/>
  <c r="B16" i="6"/>
  <c r="J16" i="3" s="1"/>
  <c r="E21" i="1"/>
  <c r="E16" i="6"/>
  <c r="J20" i="3" s="1"/>
  <c r="H16" i="6"/>
  <c r="J24" i="3" s="1"/>
  <c r="K16" i="6"/>
  <c r="A18" i="6"/>
  <c r="A21" i="6"/>
  <c r="K23" i="6"/>
  <c r="J12" i="3"/>
  <c r="K37" i="7"/>
  <c r="K34" i="7"/>
  <c r="F23" i="7"/>
  <c r="E23" i="7"/>
  <c r="D23" i="7"/>
  <c r="F22" i="7"/>
  <c r="E22" i="7"/>
  <c r="D22" i="7"/>
  <c r="F21" i="7"/>
  <c r="E21" i="7"/>
  <c r="D21" i="7"/>
  <c r="F20" i="7"/>
  <c r="E20" i="7"/>
  <c r="D20" i="7"/>
  <c r="F19" i="7"/>
  <c r="E19" i="7"/>
  <c r="D19" i="7"/>
  <c r="F18" i="7"/>
  <c r="E18" i="7"/>
  <c r="D18" i="7"/>
  <c r="F17" i="7"/>
  <c r="E17" i="7"/>
  <c r="D17" i="7"/>
  <c r="A21" i="7"/>
  <c r="F16" i="7"/>
  <c r="E16" i="7"/>
  <c r="D16" i="7"/>
  <c r="F15" i="7"/>
  <c r="E15" i="7"/>
  <c r="D15" i="7"/>
  <c r="F14" i="7"/>
  <c r="E14" i="7"/>
  <c r="D14" i="7"/>
  <c r="A18" i="7"/>
  <c r="F13" i="7"/>
  <c r="E13" i="7"/>
  <c r="D13" i="7"/>
  <c r="F12" i="7"/>
  <c r="E12" i="7"/>
  <c r="D12" i="7"/>
  <c r="A15" i="7"/>
  <c r="A12" i="7"/>
  <c r="A9" i="7"/>
  <c r="G34" i="2"/>
  <c r="F34" i="2"/>
  <c r="A21" i="2"/>
  <c r="A18" i="2"/>
  <c r="J11" i="2"/>
  <c r="A15" i="2"/>
  <c r="A12" i="2"/>
  <c r="A9" i="2"/>
  <c r="A21" i="1"/>
  <c r="A18" i="1"/>
  <c r="A15" i="1"/>
  <c r="A12" i="1"/>
  <c r="A9" i="1"/>
  <c r="A21" i="3"/>
  <c r="A18" i="3"/>
  <c r="A15" i="3"/>
  <c r="A12" i="3"/>
  <c r="A9" i="3"/>
  <c r="A15" i="6"/>
  <c r="A12" i="6"/>
  <c r="A9" i="6"/>
  <c r="G16" i="7" l="1"/>
  <c r="G19" i="7"/>
  <c r="G17" i="7"/>
  <c r="G18" i="7"/>
  <c r="G21" i="7"/>
  <c r="G15" i="7"/>
  <c r="F25" i="7"/>
  <c r="G22" i="7"/>
  <c r="G23" i="7"/>
  <c r="E25" i="7"/>
  <c r="G20" i="7"/>
  <c r="G13" i="7"/>
  <c r="G14" i="7"/>
  <c r="D25" i="7"/>
  <c r="G12" i="7"/>
  <c r="G25" i="7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<sst xmlns="http://schemas.openxmlformats.org/spreadsheetml/2006/main" count="261" uniqueCount="225">
  <si>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</si>
  <si>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</si>
  <si>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</si>
  <si>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</si>
  <si>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</si>
  <si>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</si>
  <si>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</si>
  <si>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</si>
  <si>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</si>
  <si>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</si>
  <si>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</si>
  <si>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</si>
  <si>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</si>
  <si>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</si>
  <si>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</si>
  <si>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</si>
  <si>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</si>
  <si>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</si>
  <si>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</si>
  <si>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</si>
  <si>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</si>
  <si>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</si>
  <si>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</si>
  <si>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</si>
  <si>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</si>
  <si>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</si>
  <si>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</si>
  <si>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</si>
  <si>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</si>
  <si>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</si>
  <si>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</si>
  <si>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</si>
  <si>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</si>
  <si>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</si>
  <si>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</si>
  <si>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</si>
  <si>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</si>
  <si>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</si>
  <si>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</si>
  <si>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</si>
  <si>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</si>
  <si>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</si>
  <si>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</si>
  <si>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</si>
  <si>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</si>
  <si>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</si>
  <si>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</si>
  <si>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</si>
  <si>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</si>
  <si>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</si>
  <si>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MAIS CONSULTORIA  |  IR</t>
  </si>
  <si>
    <t>ORGANIZAÇÃO  •  CLAREZA  •  CONTROLE</t>
  </si>
  <si>
    <t>IMPOSTO DE RENDA</t>
  </si>
  <si>
    <t>VISÃO GERAL | IMPOSTO DE RENDA</t>
  </si>
  <si>
    <t>Organize lançamentos, cadastre seus dados, reúna informes e acompanhe os totais em tempo real.</t>
  </si>
  <si>
    <t>Bem-vindo(a) à sua central de organização de IR</t>
  </si>
  <si>
    <t>ANO-CALENDÁRIO</t>
  </si>
  <si>
    <t>ANO-BASE →</t>
  </si>
  <si>
    <t>Preencha as abas na ordem: 1. Transações  →  2. Dados Pessoais  →  3. Informes.</t>
  </si>
  <si>
    <t>RENDIMENTOS</t>
  </si>
  <si>
    <t>DESPESAS DEDUTÍVEIS</t>
  </si>
  <si>
    <t>OUTRAS DESPESAS</t>
  </si>
  <si>
    <t>INFORMES</t>
  </si>
  <si>
    <t>Receitas registradas</t>
  </si>
  <si>
    <t>Itens declarados como dedutíveis</t>
  </si>
  <si>
    <t>Despesas não dedutíveis</t>
  </si>
  <si>
    <t>Instituições com informe</t>
  </si>
  <si>
    <t>Mais Consultoria</t>
  </si>
  <si>
    <t>Organização de IR</t>
  </si>
  <si>
    <t>VISÃO GERAL • REGISTROS E PENDÊNCIAS</t>
  </si>
  <si>
    <t>Movimentações lançadas</t>
  </si>
  <si>
    <t>Dados pessoais básicos</t>
  </si>
  <si>
    <t>1 | TRANSAÇÕES</t>
  </si>
  <si>
    <t>Lance receitas, despesas e comprovantes. A ordem de preenchimento começa por esta aba.</t>
  </si>
  <si>
    <t>PAINEL DO ANO-BASE</t>
  </si>
  <si>
    <t>Data</t>
  </si>
  <si>
    <t>Tipo</t>
  </si>
  <si>
    <t>Categoria</t>
  </si>
  <si>
    <t>Descrição / fonte pagadora</t>
  </si>
  <si>
    <t>Valor (R$)</t>
  </si>
  <si>
    <t>CPF / CNPJ</t>
  </si>
  <si>
    <t>Comprovante / arquivo</t>
  </si>
  <si>
    <t>Revisão</t>
  </si>
  <si>
    <t>RECEITAS</t>
  </si>
  <si>
    <t>DEDUÇÕES INFORMADAS</t>
  </si>
  <si>
    <t>2 | DADOS PESSOAIS</t>
  </si>
  <si>
    <t>IDENTIFICAÇÃO DO CONTRIBUINTE</t>
  </si>
  <si>
    <t>ENDEREÇO E CONTATO</t>
  </si>
  <si>
    <t>NOME COMPLETO</t>
  </si>
  <si>
    <t>LOGRADOURO</t>
  </si>
  <si>
    <t>CPF (11 DÍGITOS)</t>
  </si>
  <si>
    <t>NÚMERO / COMPLEMENTO</t>
  </si>
  <si>
    <t>DATA DE NASCIMENTO</t>
  </si>
  <si>
    <t>BAIRRO</t>
  </si>
  <si>
    <t>TÍTULO DE ELEITOR</t>
  </si>
  <si>
    <t>CIDADE</t>
  </si>
  <si>
    <t>ESTADO CIVIL</t>
  </si>
  <si>
    <t>UF</t>
  </si>
  <si>
    <t>NOME DO CÔNJUGE</t>
  </si>
  <si>
    <t>CEP</t>
  </si>
  <si>
    <t>QUANTIDADE DE DEPENDENTES</t>
  </si>
  <si>
    <t>TELEFONE FIXO</t>
  </si>
  <si>
    <t>RESIDENTE NO EXTERIOR?</t>
  </si>
  <si>
    <t>CELULAR</t>
  </si>
  <si>
    <t>ALTEROU DADOS NO ANO ANTERIOR?</t>
  </si>
  <si>
    <t>E-MAIL</t>
  </si>
  <si>
    <t>OCUPAÇÃO PRINCIPAL</t>
  </si>
  <si>
    <t>INFORMES REUNIDOS?</t>
  </si>
  <si>
    <t>VALIDAÇÃO BÁSICA DE PREENCHIMENTO</t>
  </si>
  <si>
    <t>DICAS PARA CONFERÊNCIA</t>
  </si>
  <si>
    <t>CPF (formato)</t>
  </si>
  <si>
    <t>Nome do dependente</t>
  </si>
  <si>
    <t>CPF</t>
  </si>
  <si>
    <t>Vínculo</t>
  </si>
  <si>
    <t>Nascimento</t>
  </si>
  <si>
    <t>Informações complementares</t>
  </si>
  <si>
    <t>3 | INFORMES DE RENDIMENTOS</t>
  </si>
  <si>
    <t>Controle informes de bancos, corretoras e outras fontes, com referência aos documentos.</t>
  </si>
  <si>
    <t>INFORMES BANCÁRIOS E DE RENDIMENTOS</t>
  </si>
  <si>
    <t>DADOS DO ANO-BASE</t>
  </si>
  <si>
    <t>Instituição / banco</t>
  </si>
  <si>
    <t>Tipo de informe</t>
  </si>
  <si>
    <t>CNPJ da fonte</t>
  </si>
  <si>
    <t>Ano-base</t>
  </si>
  <si>
    <t>Saldo em 31/12 (R$)</t>
  </si>
  <si>
    <t>Rendimentos (R$)</t>
  </si>
  <si>
    <t>Arquivo / referência</t>
  </si>
  <si>
    <t>Conferência</t>
  </si>
  <si>
    <t>O saldo patrimonial e os rendimentos são informações distintas. Não some o saldo bancário à renda tributável.</t>
  </si>
  <si>
    <t>Associe cada informe ao PDF ou documento recebido da instituição. A classificação e a declaração definitivas dependem das regras oficiais.</t>
  </si>
  <si>
    <t>TOTAIS DE INSTITUIÇÕES / FONTES</t>
  </si>
  <si>
    <t>Valores informados</t>
  </si>
  <si>
    <t>4 | RELATÓRIOS</t>
  </si>
  <si>
    <t>Resumo financeiro anual para conferência. Valores calculados automaticamente a partir de Transações.</t>
  </si>
  <si>
    <t>MOVIMENTAÇÃO MENSAL POR TIPO</t>
  </si>
  <si>
    <t>COMPARATIVO MENSAL</t>
  </si>
  <si>
    <t>Mês nº</t>
  </si>
  <si>
    <t>Mês</t>
  </si>
  <si>
    <t>Dedutíveis (R$)</t>
  </si>
  <si>
    <t>Não dedutíveis (R$)</t>
  </si>
  <si>
    <t>Diferença (R$)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</si>
  <si>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</si>
  <si>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</si>
  <si>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</si>
  <si>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</si>
  <si>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</si>
  <si>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</si>
  <si>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</si>
  <si>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</si>
  <si>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</si>
  <si>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</si>
  <si>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</si>
  <si>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</si>
  <si>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DO ANO</t>
  </si>
  <si>
    <t>CONFERÊNCIA DOS REGISTROS</t>
  </si>
  <si>
    <t>Comprovantes pendentes</t>
  </si>
  <si>
    <t>Lançamentos revisados</t>
  </si>
  <si>
    <t>BANCOS E INSTITUIÇÕES • TABELA DE APOIO</t>
  </si>
  <si>
    <t>TIPOS DE TRANSAÇÃO</t>
  </si>
  <si>
    <t>CATEGORIAS</t>
  </si>
  <si>
    <t>STATUS / REVISÃO</t>
  </si>
  <si>
    <t>Rendimento</t>
  </si>
  <si>
    <t>Salário</t>
  </si>
  <si>
    <t>Pendente</t>
  </si>
  <si>
    <t>Solteiro(a)</t>
  </si>
  <si>
    <t>AC</t>
  </si>
  <si>
    <t>Despesa dedutível</t>
  </si>
  <si>
    <t>Prestação de serviços</t>
  </si>
  <si>
    <t>Conferido</t>
  </si>
  <si>
    <t>Casado(a)</t>
  </si>
  <si>
    <t>AL</t>
  </si>
  <si>
    <t>Despesa não dedutível</t>
  </si>
  <si>
    <t>Aposentadoria</t>
  </si>
  <si>
    <t>Falta comprovante</t>
  </si>
  <si>
    <t>Divorciado(a)</t>
  </si>
  <si>
    <t>AP</t>
  </si>
  <si>
    <t>Movimentação patrimonial</t>
  </si>
  <si>
    <t>Aluguel</t>
  </si>
  <si>
    <t>Revisar</t>
  </si>
  <si>
    <t>Viúvo(a)</t>
  </si>
  <si>
    <t>AM</t>
  </si>
  <si>
    <t>Investimentos</t>
  </si>
  <si>
    <t>União estável</t>
  </si>
  <si>
    <t>BA</t>
  </si>
  <si>
    <t>Dividendos</t>
  </si>
  <si>
    <t>Separado(a)</t>
  </si>
  <si>
    <t>CE</t>
  </si>
  <si>
    <t>Saúde</t>
  </si>
  <si>
    <t>DF</t>
  </si>
  <si>
    <t>Educação</t>
  </si>
  <si>
    <t>ES</t>
  </si>
  <si>
    <t>Previdência</t>
  </si>
  <si>
    <t>GO</t>
  </si>
  <si>
    <t>Doações</t>
  </si>
  <si>
    <t>MA</t>
  </si>
  <si>
    <t>Bens</t>
  </si>
  <si>
    <t>MT</t>
  </si>
  <si>
    <t>Outros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</si>
  <si>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</si>
  <si>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</si>
  <si>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</si>
  <si>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</si>
  <si>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</si>
  <si>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</si>
  <si>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</si>
  <si>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</si>
  <si>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</si>
  <si>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</si>
  <si>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</si>
  <si>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</si>
  <si>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</si>
  <si>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</si>
  <si>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</si>
  <si>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</si>
  <si>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 xml:space="preserve">CADASTRO DE LANÇAMENTOS </t>
  </si>
  <si>
    <t>CNPJ</t>
  </si>
  <si>
    <t>123321123-32</t>
  </si>
  <si>
    <t>321123321-12</t>
  </si>
  <si>
    <t>Só saude</t>
  </si>
  <si>
    <t>051237890001-19</t>
  </si>
  <si>
    <t>Dental</t>
  </si>
  <si>
    <t>345543435-34</t>
  </si>
  <si>
    <t>01623456789</t>
  </si>
  <si>
    <t xml:space="preserve">DEPENDENTES </t>
  </si>
  <si>
    <t xml:space="preserve">Aluguel recebido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</si>
</sst>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70" formatCode="&quot;R$&quot;\ #,##0.00;[Red]\(&quot;R$&quot;\ #,##0.00\);&quot;-&quot;"/>
  </numFmts>
  <fonts count="33" x14ac:knownFonts="1">
    <font>
      <sz val="11"/>
      <color theme="1"/>
      <name val="Aptos Narrow"/>
    </font>
    <font>
      <sz val="11"/>
      <color theme="1"/>
      <name val="Aptos Narrow"/>
    </font>
    <font>
      <b/>
      <sz val="15"/>
      <color theme="3"/>
      <name val="Aptos Narrow"/>
    </font>
    <font>
      <sz val="11"/>
      <color rgb="FF9C5700"/>
      <name val="Aptos Narrow"/>
    </font>
    <font>
      <sz val="11"/>
      <color theme="10"/>
      <name val="Aptos Narrow"/>
    </font>
    <font>
      <sz val="11"/>
      <color rgb="FF163657"/>
      <name val="Aptos Narrow"/>
    </font>
    <font>
      <b/>
      <sz val="11"/>
      <color rgb="FFFFFFFF"/>
      <name val="Aptos Narrow"/>
    </font>
    <font>
      <b/>
      <sz val="20"/>
      <color rgb="FFFFFFFF"/>
      <name val="Aptos Narrow"/>
    </font>
    <font>
      <sz val="10"/>
      <color rgb="FFB9D8F1"/>
      <name val="Aptos Narrow"/>
    </font>
    <font>
      <b/>
      <sz val="11"/>
      <color rgb="FF081F3F"/>
      <name val="Aptos Narrow"/>
    </font>
    <font>
      <b/>
      <sz val="16"/>
      <color rgb="FFFFFFFF"/>
      <name val="Aptos Narrow"/>
    </font>
    <font>
      <sz val="10"/>
      <color rgb="FF5E7692"/>
      <name val="Aptos Narrow"/>
    </font>
    <font>
      <b/>
      <sz val="16"/>
      <color rgb="FF081F3F"/>
      <name val="Aptos Narrow"/>
    </font>
    <font>
      <sz val="11"/>
      <color rgb="FF163657"/>
      <name val="Aptos Narrow"/>
    </font>
    <font>
      <b/>
      <sz val="10"/>
      <color rgb="FFFFFFFF"/>
      <name val="Aptos Narrow"/>
    </font>
    <font>
      <sz val="9"/>
      <color rgb="FF5E7692"/>
      <name val="Aptos Narrow"/>
    </font>
    <font>
      <sz val="10"/>
      <color rgb="FF163657"/>
      <name val="Aptos Narrow"/>
    </font>
    <font>
      <b/>
      <sz val="11"/>
      <color rgb="FF1569AF"/>
      <name val="Aptos Narrow"/>
    </font>
    <font>
      <b/>
      <sz val="11"/>
      <color rgb="FF163657"/>
      <name val="Aptos Narrow"/>
    </font>
    <font>
      <b/>
      <sz val="10"/>
      <color rgb="FF163657"/>
      <name val="Aptos Narrow"/>
    </font>
    <font>
      <b/>
      <sz val="10"/>
      <color rgb="FF081F3F"/>
      <name val="Aptos Narrow"/>
    </font>
    <font>
      <sz val="11"/>
      <color rgb="FFEDF6FF"/>
      <name val="Aptos"/>
    </font>
    <font>
      <sz val="9"/>
      <color rgb="FFB7CCE1"/>
      <name val="Aptos"/>
    </font>
    <font>
      <b/>
      <sz val="15"/>
      <color rgb="FF142F4A"/>
      <name val="Aptos Narrow"/>
    </font>
    <font>
      <sz val="10"/>
      <color rgb="FF58758F"/>
      <name val="Aptos Narrow"/>
    </font>
    <font>
      <b/>
      <sz val="11"/>
      <color rgb="FF071F3C"/>
      <name val="Aptos"/>
    </font>
    <font>
      <sz val="10"/>
      <color rgb="FF9DB7CF"/>
      <name val="Aptos"/>
    </font>
    <font>
      <sz val="9"/>
      <color rgb="FF9DB7CF"/>
      <name val="Aptos"/>
    </font>
    <font>
      <b/>
      <sz val="11"/>
      <color rgb="FFFFFFFF"/>
      <name val="Aptos"/>
    </font>
    <font>
      <sz val="14"/>
      <color rgb="FF5E7692"/>
      <name val="Aptos Narrow"/>
    </font>
    <font>
      <sz val="16"/>
      <color rgb="FF5E7692"/>
      <name val="Aptos Narrow"/>
    </font>
    <font>
      <sz val="14"/>
      <color rgb="FF163657"/>
      <name val="Aptos Narrow"/>
    </font>
    <font>
      <b/>
      <sz val="14"/>
      <color rgb="FF081F3F"/>
      <name val="Aptos Narrow"/>
    </font>
  </fonts>
  <fills count="1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</patternFill>
    </fill>
    <fill>
      <patternFill patternType="solid">
        <fgColor rgb="FFFFFFFF"/>
      </patternFill>
    </fill>
    <fill>
      <patternFill patternType="solid">
        <fgColor rgb="FF081F3F"/>
      </patternFill>
    </fill>
    <fill>
      <patternFill patternType="solid">
        <fgColor rgb="FF0C315C"/>
      </patternFill>
    </fill>
    <fill>
      <patternFill patternType="solid">
        <fgColor rgb="FF1569AF"/>
      </patternFill>
    </fill>
    <fill>
      <patternFill patternType="solid">
        <fgColor rgb="FFE9F2F7"/>
      </patternFill>
    </fill>
    <fill>
      <patternFill patternType="solid">
        <fgColor rgb="FFF3F8FC"/>
      </patternFill>
    </fill>
    <fill>
      <patternFill patternType="solid">
        <fgColor rgb="FFE4F9EE"/>
      </patternFill>
    </fill>
    <fill>
      <patternFill patternType="solid">
        <fgColor rgb="FFFFF2CD"/>
      </patternFill>
    </fill>
    <fill>
      <patternFill patternType="solid">
        <fgColor rgb="FF071F3C"/>
      </patternFill>
    </fill>
    <fill>
      <patternFill patternType="solid">
        <fgColor rgb="FFE9F3F9"/>
      </patternFill>
    </fill>
    <fill>
      <patternFill patternType="solid">
        <fgColor rgb="FF00D548"/>
      </patternFill>
    </fill>
    <fill>
      <patternFill patternType="solid">
        <fgColor rgb="FF102C4C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73">
    <xf numFmtId="0" fontId="0" fillId="0" borderId="0" xfId="0"/>
    <xf numFmtId="0" fontId="0" fillId="3" borderId="0" xfId="0" applyFill="1"/>
    <xf numFmtId="0" fontId="5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6" fillId="7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0" fontId="5" fillId="8" borderId="0" xfId="0" applyFont="1" applyFill="1" applyAlignment="1">
      <alignment vertical="center"/>
    </xf>
    <xf numFmtId="0" fontId="11" fillId="8" borderId="0" xfId="0" applyFont="1" applyFill="1" applyAlignment="1">
      <alignment horizontal="left" vertical="center"/>
    </xf>
    <xf numFmtId="0" fontId="5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12" fillId="9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center" vertical="center"/>
    </xf>
    <xf numFmtId="0" fontId="9" fillId="10" borderId="0" xfId="0" applyFont="1" applyFill="1" applyAlignment="1">
      <alignment vertical="center"/>
    </xf>
    <xf numFmtId="0" fontId="9" fillId="10" borderId="0" xfId="0" applyFont="1" applyFill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15" fillId="9" borderId="0" xfId="0" applyFont="1" applyFill="1" applyAlignment="1">
      <alignment horizontal="left" vertical="center" wrapText="1"/>
    </xf>
    <xf numFmtId="170" fontId="9" fillId="9" borderId="0" xfId="0" applyNumberFormat="1" applyFont="1" applyFill="1" applyAlignment="1">
      <alignment horizontal="left" vertical="center"/>
    </xf>
    <xf numFmtId="0" fontId="11" fillId="9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6" fillId="6" borderId="0" xfId="0" applyFont="1" applyFill="1" applyAlignment="1">
      <alignment vertical="center" wrapText="1"/>
    </xf>
    <xf numFmtId="0" fontId="5" fillId="8" borderId="0" xfId="0" applyFont="1" applyFill="1"/>
    <xf numFmtId="14" fontId="5" fillId="8" borderId="0" xfId="0" applyNumberFormat="1" applyFont="1" applyFill="1" applyAlignment="1">
      <alignment vertical="center"/>
    </xf>
    <xf numFmtId="170" fontId="5" fillId="8" borderId="0" xfId="0" applyNumberFormat="1" applyFont="1" applyFill="1" applyAlignment="1">
      <alignment vertical="center"/>
    </xf>
    <xf numFmtId="1" fontId="9" fillId="9" borderId="0" xfId="0" applyNumberFormat="1" applyFont="1" applyFill="1" applyAlignment="1">
      <alignment horizontal="left" vertical="center"/>
    </xf>
    <xf numFmtId="0" fontId="16" fillId="10" borderId="0" xfId="0" applyFont="1" applyFill="1" applyAlignment="1">
      <alignment horizontal="left" vertical="center" wrapText="1"/>
    </xf>
    <xf numFmtId="0" fontId="19" fillId="9" borderId="0" xfId="0" applyFont="1" applyFill="1" applyAlignment="1">
      <alignment horizontal="left" vertical="center"/>
    </xf>
    <xf numFmtId="14" fontId="13" fillId="8" borderId="0" xfId="0" applyNumberFormat="1" applyFont="1" applyFill="1" applyAlignment="1">
      <alignment horizontal="left" vertical="center"/>
    </xf>
    <xf numFmtId="0" fontId="5" fillId="10" borderId="0" xfId="0" applyFont="1" applyFill="1" applyAlignment="1">
      <alignment vertical="center" wrapText="1"/>
    </xf>
    <xf numFmtId="170" fontId="5" fillId="4" borderId="0" xfId="0" applyNumberFormat="1" applyFont="1" applyFill="1" applyAlignment="1">
      <alignment vertical="center"/>
    </xf>
    <xf numFmtId="1" fontId="5" fillId="8" borderId="0" xfId="0" applyNumberFormat="1" applyFont="1" applyFill="1" applyAlignment="1">
      <alignment vertical="center"/>
    </xf>
    <xf numFmtId="170" fontId="9" fillId="10" borderId="0" xfId="0" applyNumberFormat="1" applyFont="1" applyFill="1" applyAlignment="1">
      <alignment vertical="center"/>
    </xf>
    <xf numFmtId="170" fontId="5" fillId="9" borderId="0" xfId="0" applyNumberFormat="1" applyFont="1" applyFill="1" applyAlignment="1">
      <alignment vertical="center"/>
    </xf>
    <xf numFmtId="0" fontId="20" fillId="8" borderId="0" xfId="0" applyFont="1" applyFill="1" applyAlignment="1">
      <alignment horizontal="left" vertical="center"/>
    </xf>
    <xf numFmtId="0" fontId="9" fillId="11" borderId="0" xfId="0" applyFont="1" applyFill="1" applyAlignment="1">
      <alignment horizontal="center" vertical="center"/>
    </xf>
    <xf numFmtId="0" fontId="6" fillId="5" borderId="0" xfId="0" applyFont="1" applyFill="1"/>
    <xf numFmtId="0" fontId="0" fillId="9" borderId="0" xfId="0" applyFill="1"/>
    <xf numFmtId="0" fontId="18" fillId="8" borderId="0" xfId="0" applyFont="1" applyFill="1" applyAlignment="1">
      <alignment horizontal="center" vertical="center"/>
    </xf>
    <xf numFmtId="0" fontId="21" fillId="12" borderId="0" xfId="0" applyFont="1" applyFill="1" applyAlignment="1">
      <alignment vertical="center"/>
    </xf>
    <xf numFmtId="0" fontId="22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vertical="center"/>
    </xf>
    <xf numFmtId="0" fontId="25" fillId="14" borderId="0" xfId="0" applyFont="1" applyFill="1" applyAlignment="1">
      <alignment horizontal="center" vertical="center"/>
    </xf>
    <xf numFmtId="0" fontId="26" fillId="12" borderId="0" xfId="0" applyFont="1" applyFill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0" fontId="28" fillId="15" borderId="0" xfId="0" applyFont="1" applyFill="1" applyAlignment="1">
      <alignment horizontal="center" vertical="center"/>
    </xf>
    <xf numFmtId="0" fontId="23" fillId="13" borderId="0" xfId="0" applyFont="1" applyFill="1" applyAlignment="1">
      <alignment horizontal="left" vertical="center"/>
    </xf>
    <xf numFmtId="0" fontId="7" fillId="13" borderId="0" xfId="0" applyFont="1" applyFill="1" applyAlignment="1">
      <alignment horizontal="left" vertical="center"/>
    </xf>
    <xf numFmtId="0" fontId="24" fillId="13" borderId="0" xfId="0" applyFont="1" applyFill="1" applyAlignment="1">
      <alignment horizontal="right" vertical="center"/>
    </xf>
    <xf numFmtId="0" fontId="8" fillId="13" borderId="0" xfId="0" applyFont="1" applyFill="1" applyAlignment="1">
      <alignment horizontal="right" vertical="center"/>
    </xf>
    <xf numFmtId="0" fontId="6" fillId="6" borderId="0" xfId="0" applyFont="1" applyFill="1" applyAlignment="1">
      <alignment horizontal="left" vertical="center"/>
    </xf>
    <xf numFmtId="0" fontId="9" fillId="10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left" vertical="center"/>
    </xf>
    <xf numFmtId="0" fontId="20" fillId="8" borderId="0" xfId="0" applyFont="1" applyFill="1" applyAlignment="1">
      <alignment horizontal="left" vertical="center"/>
    </xf>
    <xf numFmtId="0" fontId="21" fillId="12" borderId="2" xfId="0" applyFont="1" applyFill="1" applyBorder="1" applyAlignment="1">
      <alignment horizontal="center" vertical="center"/>
    </xf>
    <xf numFmtId="0" fontId="30" fillId="9" borderId="0" xfId="0" applyFont="1" applyFill="1" applyAlignment="1">
      <alignment horizontal="left" vertical="center" wrapText="1"/>
    </xf>
    <xf numFmtId="0" fontId="30" fillId="9" borderId="0" xfId="0" applyFont="1" applyFill="1" applyAlignment="1">
      <alignment horizontal="left" vertical="center" wrapText="1"/>
    </xf>
    <xf numFmtId="0" fontId="5" fillId="16" borderId="0" xfId="0" applyFont="1" applyFill="1" applyAlignment="1">
      <alignment vertical="center"/>
    </xf>
    <xf numFmtId="0" fontId="29" fillId="8" borderId="0" xfId="0" applyFont="1" applyFill="1" applyAlignment="1">
      <alignment horizontal="left" vertical="center"/>
    </xf>
    <xf numFmtId="0" fontId="5" fillId="17" borderId="0" xfId="0" applyFont="1" applyFill="1" applyAlignment="1">
      <alignment vertical="center"/>
    </xf>
    <xf numFmtId="0" fontId="0" fillId="17" borderId="0" xfId="0" applyFill="1"/>
    <xf numFmtId="0" fontId="31" fillId="8" borderId="0" xfId="0" applyFont="1" applyFill="1" applyAlignment="1">
      <alignment horizontal="left" vertical="center"/>
    </xf>
    <xf numFmtId="170" fontId="32" fillId="9" borderId="0" xfId="0" applyNumberFormat="1" applyFont="1" applyFill="1" applyAlignment="1">
      <alignment horizontal="left" vertical="center"/>
    </xf>
    <xf numFmtId="0" fontId="32" fillId="9" borderId="0" xfId="0" applyFont="1" applyFill="1" applyAlignment="1">
      <alignment horizontal="left" vertical="center"/>
    </xf>
    <xf numFmtId="0" fontId="29" fillId="9" borderId="0" xfId="0" applyFont="1" applyFill="1" applyAlignment="1">
      <alignment horizontal="left" vertical="center" wrapText="1"/>
    </xf>
    <xf numFmtId="0" fontId="6" fillId="16" borderId="0" xfId="0" applyFont="1" applyFill="1" applyAlignment="1">
      <alignment horizontal="left" vertical="center"/>
    </xf>
    <xf numFmtId="0" fontId="16" fillId="16" borderId="0" xfId="0" applyFont="1" applyFill="1" applyAlignment="1">
      <alignment horizontal="left" vertical="center"/>
    </xf>
    <xf numFmtId="0" fontId="17" fillId="16" borderId="0" xfId="0" applyFont="1" applyFill="1" applyAlignment="1">
      <alignment horizontal="left" vertical="center"/>
    </xf>
    <xf numFmtId="0" fontId="29" fillId="9" borderId="0" xfId="0" applyFont="1" applyFill="1" applyAlignment="1">
      <alignment horizontal="center" vertical="center" wrapText="1"/>
    </xf>
    <xf numFmtId="0" fontId="29" fillId="9" borderId="0" xfId="0" applyFont="1" applyFill="1" applyAlignment="1">
      <alignment horizontal="left" vertical="center" wrapText="1"/>
    </xf>
    <xf numFmtId="0" fontId="31" fillId="10" borderId="0" xfId="0" applyFont="1" applyFill="1" applyAlignment="1">
      <alignment horizontal="left" vertical="center" wrapText="1"/>
    </xf>
    <xf numFmtId="0" fontId="6" fillId="18" borderId="0" xfId="0" applyFont="1" applyFill="1" applyAlignment="1">
      <alignment horizontal="left" vertical="center"/>
    </xf>
    <xf numFmtId="49" fontId="5" fillId="8" borderId="0" xfId="0" applyNumberFormat="1" applyFont="1" applyFill="1" applyAlignment="1">
      <alignment horizontal="left" vertical="center"/>
    </xf>
  </cellXfs>
  <cellStyles count="5">
    <cellStyle name="Hiperlink" xfId="4" xr:uid="{00000000-0005-0000-0000-000000000000}"/>
    <cellStyle name="Moeda" xfId="1" xr:uid="{00000000-0005-0000-0000-000001000000}"/>
    <cellStyle name="Neutro" xfId="3" xr:uid="{00000000-0005-0000-0000-000002000000}"/>
    <cellStyle name="Normal" xfId="0" builtinId="0"/>
    <cellStyle name="Título 1" xfId="2" xr:uid="{00000000-0005-0000-0000-000004000000}"/>
  </cellStyles>
  <dxfs count="3">
    <dxf>
      <font>
        <color rgb="FF087142"/>
      </font>
      <fill>
        <patternFill>
          <bgColor rgb="FFE4F9EE"/>
        </patternFill>
      </fill>
    </dxf>
    <dxf>
      <font>
        <color rgb="FFC53C4C"/>
      </font>
      <fill>
        <patternFill>
          <bgColor rgb="FFFDE6E7"/>
        </patternFill>
      </fill>
    </dxf>
    <dxf>
      <font>
        <color rgb="FF087142"/>
      </font>
      <fill>
        <patternFill>
          <bgColor rgb="FFE4F9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Rendimentos</c:v>
          </c:tx>
          <c:invertIfNegative val="1"/>
          <c:cat>
            <c:strRef>
              <c:f>Relatórios!$C$12:$C$23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Relatórios!$D$12:$D$23</c:f>
              <c:numCache>
                <c:formatCode>"R$"\ #,##0.00;[Red]\("R$"\ #,##0.00\);"-"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1615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7-7F40-BFDA-E815DFD7341C}"/>
            </c:ext>
          </c:extLst>
        </c:ser>
        <c:ser>
          <c:idx val="1"/>
          <c:order val="1"/>
          <c:tx>
            <c:v>Dedutíveis</c:v>
          </c:tx>
          <c:invertIfNegative val="1"/>
          <c:cat>
            <c:strRef>
              <c:f>Relatórios!$C$12:$C$23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Relatórios!$E$12:$E$23</c:f>
              <c:numCache>
                <c:formatCode>"R$"\ #,##0.00;[Red]\("R$"\ #,##0.00\);"-"</c:formatCode>
                <c:ptCount val="12"/>
                <c:pt idx="0">
                  <c:v>146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465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F7-7F40-BFDA-E815DFD7341C}"/>
            </c:ext>
          </c:extLst>
        </c:ser>
        <c:ser>
          <c:idx val="2"/>
          <c:order val="2"/>
          <c:tx>
            <c:v>Não dedutíveis</c:v>
          </c:tx>
          <c:invertIfNegative val="1"/>
          <c:cat>
            <c:strRef>
              <c:f>Relatórios!$C$12:$C$23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Relatórios!$F$12:$F$23</c:f>
              <c:numCache>
                <c:formatCode>"R$"\ #,##0.00;[Red]\("R$"\ #,##0.00\);"-"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F7-7F40-BFDA-E815DFD73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R$&quot;\ #,##0.00;[Red]\(&quot;R$&quot;\ #,##0.00\);&quot;-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0"/>
  <sheetViews>
    <sheetView tabSelected="1" zoomScaleNormal="100" workbookViewId="0">
      <selection activeCell="A12" sqref="A12"/>
    </sheetView>
  </sheetViews>
  <sheetFormatPr baseColWidth="10" defaultColWidth="0" defaultRowHeight="15" zeroHeight="1" x14ac:dyDescent="0.2"/>
  <cols>
    <col min="1" max="1" width="27" customWidth="1"/>
    <col min="2" max="2" width="18" customWidth="1"/>
    <col min="3" max="3" width="17" customWidth="1"/>
    <col min="4" max="4" width="19" customWidth="1"/>
    <col min="5" max="5" width="22" customWidth="1"/>
    <col min="6" max="6" width="17" customWidth="1"/>
    <col min="7" max="7" width="19" customWidth="1"/>
    <col min="8" max="8" width="17" customWidth="1"/>
    <col min="9" max="9" width="18" customWidth="1"/>
    <col min="10" max="11" width="17" customWidth="1"/>
    <col min="12" max="12" width="21" customWidth="1"/>
    <col min="13" max="13" width="3" style="60" customWidth="1"/>
    <col min="14" max="16384" width="8.83203125" hidden="1"/>
  </cols>
  <sheetData>
    <row r="1" spans="1:13" ht="22.75" customHeight="1" x14ac:dyDescent="0.2">
      <c r="A1" s="54" t="e" vm="1">
        <v>#VALUE!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">
      <c r="A2" s="54"/>
      <c r="B2" s="41"/>
      <c r="C2" s="41"/>
      <c r="D2" s="41"/>
      <c r="E2" s="46" t="s">
        <v>50</v>
      </c>
      <c r="F2" s="47"/>
      <c r="G2" s="47"/>
      <c r="H2" s="47"/>
      <c r="I2" s="48" t="s">
        <v>51</v>
      </c>
      <c r="J2" s="49"/>
      <c r="K2" s="49"/>
      <c r="L2" s="49"/>
      <c r="M2" s="3"/>
    </row>
    <row r="3" spans="1:13" x14ac:dyDescent="0.2">
      <c r="A3" s="54"/>
      <c r="B3" s="41"/>
      <c r="C3" s="41"/>
      <c r="D3" s="41"/>
      <c r="E3" s="47"/>
      <c r="F3" s="47"/>
      <c r="G3" s="47"/>
      <c r="H3" s="47"/>
      <c r="I3" s="49"/>
      <c r="J3" s="49"/>
      <c r="K3" s="49"/>
      <c r="L3" s="49"/>
      <c r="M3" s="3"/>
    </row>
    <row r="4" spans="1:13" x14ac:dyDescent="0.2">
      <c r="A4" s="54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3"/>
    </row>
    <row r="5" spans="1:13" ht="16" customHeight="1" x14ac:dyDescent="0.2">
      <c r="A5" s="54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3"/>
    </row>
    <row r="6" spans="1:13" ht="34.75" customHeight="1" x14ac:dyDescent="0.2">
      <c r="A6" s="54"/>
      <c r="B6" s="5" t="s">
        <v>53</v>
      </c>
      <c r="C6" s="5"/>
      <c r="D6" s="5"/>
      <c r="E6" s="5"/>
      <c r="F6" s="5"/>
      <c r="G6" s="5"/>
      <c r="H6" s="5"/>
      <c r="I6" s="5"/>
      <c r="J6" s="5"/>
      <c r="K6" s="5"/>
      <c r="L6" s="5"/>
      <c r="M6" s="3"/>
    </row>
    <row r="7" spans="1:13" ht="34.75" customHeight="1" x14ac:dyDescent="0.2">
      <c r="A7" s="40" t="s">
        <v>52</v>
      </c>
      <c r="B7" s="58" t="s">
        <v>54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3"/>
    </row>
    <row r="8" spans="1:13" ht="13.25" customHeight="1" x14ac:dyDescent="0.2">
      <c r="A8" s="39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3"/>
    </row>
    <row r="9" spans="1:13" ht="40" customHeight="1" x14ac:dyDescent="0.2">
      <c r="A9" s="42" t="str">
        <f>IFERROR(HYPERLINK("#'Início'!B10","INÍCIO"),"INÍCIO")</f>
        <v>INÍCIO</v>
      </c>
      <c r="B9" s="10" t="s">
        <v>55</v>
      </c>
      <c r="C9" s="10"/>
      <c r="D9" s="10"/>
      <c r="E9" s="10"/>
      <c r="F9" s="10"/>
      <c r="G9" s="10"/>
      <c r="H9" s="10"/>
      <c r="I9" s="10"/>
      <c r="J9" s="10"/>
      <c r="K9" s="12" t="s">
        <v>56</v>
      </c>
      <c r="L9" s="12"/>
      <c r="M9" s="3"/>
    </row>
    <row r="10" spans="1:13" ht="22" x14ac:dyDescent="0.2">
      <c r="A10" s="39"/>
      <c r="B10" s="10"/>
      <c r="C10" s="10"/>
      <c r="D10" s="10"/>
      <c r="E10" s="10"/>
      <c r="F10" s="10"/>
      <c r="G10" s="10"/>
      <c r="H10" s="10"/>
      <c r="I10" s="10"/>
      <c r="J10" s="10"/>
      <c r="K10" s="38" t="s">
        <v>57</v>
      </c>
      <c r="L10" s="15">
        <v>2025</v>
      </c>
      <c r="M10" s="3"/>
    </row>
    <row r="11" spans="1:13" ht="32" customHeight="1" x14ac:dyDescent="0.2">
      <c r="A11" s="39"/>
      <c r="B11" s="61" t="s">
        <v>58</v>
      </c>
      <c r="C11" s="61"/>
      <c r="D11" s="61"/>
      <c r="E11" s="61"/>
      <c r="F11" s="11"/>
      <c r="G11" s="11"/>
      <c r="H11" s="11"/>
      <c r="I11" s="11"/>
      <c r="J11" s="11"/>
      <c r="K11" s="16"/>
      <c r="L11" s="16"/>
      <c r="M11" s="3"/>
    </row>
    <row r="12" spans="1:13" ht="40" customHeight="1" x14ac:dyDescent="0.2">
      <c r="A12" s="45" t="str">
        <f>IFERROR(HYPERLINK("#'Transações'!B10","TRANSAÇÕES"),"TRANSAÇÕES")</f>
        <v>TRANSAÇÕES</v>
      </c>
      <c r="B12" s="11"/>
      <c r="C12" s="11"/>
      <c r="D12" s="11"/>
      <c r="E12" s="11"/>
      <c r="F12" s="11"/>
      <c r="G12" s="11"/>
      <c r="H12" s="11"/>
      <c r="I12" s="11"/>
      <c r="J12" s="11"/>
      <c r="K12" s="16"/>
      <c r="L12" s="16"/>
      <c r="M12" s="3"/>
    </row>
    <row r="13" spans="1:13" ht="13.25" customHeight="1" x14ac:dyDescent="0.2">
      <c r="A13" s="39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 spans="1:13" ht="32" customHeight="1" x14ac:dyDescent="0.2">
      <c r="A14" s="39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3"/>
    </row>
    <row r="15" spans="1:13" ht="40" customHeight="1" x14ac:dyDescent="0.2">
      <c r="A15" s="45" t="str">
        <f>IFERROR(HYPERLINK("#'Dados Pessoais'!B10","DADOS PESSOAIS"),"DADOS PESSOAIS")</f>
        <v>DADOS PESSOAIS</v>
      </c>
      <c r="B15" s="4" t="s">
        <v>59</v>
      </c>
      <c r="C15" s="4"/>
      <c r="D15" s="4"/>
      <c r="E15" s="4" t="s">
        <v>60</v>
      </c>
      <c r="F15" s="4"/>
      <c r="G15" s="4"/>
      <c r="H15" s="4" t="s">
        <v>61</v>
      </c>
      <c r="I15" s="4"/>
      <c r="J15" s="4"/>
      <c r="K15" s="4" t="s">
        <v>62</v>
      </c>
      <c r="L15" s="4"/>
      <c r="M15" s="3"/>
    </row>
    <row r="16" spans="1:13" ht="13.25" customHeight="1" x14ac:dyDescent="0.2">
      <c r="A16" s="39"/>
      <c r="B16" s="17">
        <f>SUMIFS(Transações!$F$12:$F$215,Transações!$C$12:$C$215,"Rendimento",Transações!$B$12:$B$215,"&gt;="&amp;DATE($L$10,1,1),Transações!$B$12:$B$215,"&lt;"&amp;DATE($L$10+1,1,1))</f>
        <v>1615</v>
      </c>
      <c r="C16" s="17"/>
      <c r="D16" s="17"/>
      <c r="E16" s="17">
        <f>SUMIFS(Transações!$F$12:$F$215,Transações!$C$12:$C$215,"Despesa dedutível",Transações!$B$12:$B$215,"&gt;="&amp;DATE($L$10,1,1),Transações!$B$12:$B$215,"&lt;"&amp;DATE($L$10+1,1,1))</f>
        <v>611</v>
      </c>
      <c r="F16" s="17"/>
      <c r="G16" s="17"/>
      <c r="H16" s="17">
        <f>SUMIFS(Transações!$F$12:$F$215,Transações!$C$12:$C$215,"Despesa não dedutível",Transações!$B$12:$B$215,"&gt;="&amp;DATE($L$10,1,1),Transações!$B$12:$B$215,"&lt;"&amp;DATE($L$10+1,1,1))</f>
        <v>0</v>
      </c>
      <c r="I16" s="17"/>
      <c r="J16" s="17"/>
      <c r="K16" s="9">
        <f>COUNTIF(INFORMES!$B$12:$B$31,"?*")</f>
        <v>1</v>
      </c>
      <c r="L16" s="9"/>
      <c r="M16" s="3"/>
    </row>
    <row r="17" spans="1:13" ht="32" customHeight="1" x14ac:dyDescent="0.2">
      <c r="A17" s="39"/>
      <c r="B17" s="17"/>
      <c r="C17" s="17"/>
      <c r="D17" s="17"/>
      <c r="E17" s="17"/>
      <c r="F17" s="17"/>
      <c r="G17" s="17"/>
      <c r="H17" s="17"/>
      <c r="I17" s="17"/>
      <c r="J17" s="17"/>
      <c r="K17" s="9"/>
      <c r="L17" s="9"/>
      <c r="M17" s="3"/>
    </row>
    <row r="18" spans="1:13" ht="40" customHeight="1" x14ac:dyDescent="0.2">
      <c r="A18" s="45" t="str">
        <f>IFERROR(HYPERLINK("#'INFORMES'!B10","INFORMES"),"INFORMES")</f>
        <v>INFORMES</v>
      </c>
      <c r="B18" s="62"/>
      <c r="C18" s="62"/>
      <c r="D18" s="62"/>
      <c r="E18" s="62"/>
      <c r="F18" s="62"/>
      <c r="G18" s="62"/>
      <c r="H18" s="62"/>
      <c r="I18" s="62"/>
      <c r="J18" s="62"/>
      <c r="K18" s="63"/>
      <c r="L18" s="63"/>
      <c r="M18" s="3"/>
    </row>
    <row r="19" spans="1:13" ht="13.25" customHeight="1" x14ac:dyDescent="0.2">
      <c r="A19" s="39"/>
      <c r="B19" s="64" t="s">
        <v>63</v>
      </c>
      <c r="C19" s="64"/>
      <c r="D19" s="64"/>
      <c r="E19" s="64" t="s">
        <v>64</v>
      </c>
      <c r="F19" s="64"/>
      <c r="G19" s="64"/>
      <c r="H19" s="64" t="s">
        <v>65</v>
      </c>
      <c r="I19" s="64"/>
      <c r="J19" s="64"/>
      <c r="K19" s="64" t="s">
        <v>66</v>
      </c>
      <c r="L19" s="64"/>
      <c r="M19" s="3"/>
    </row>
    <row r="20" spans="1:13" ht="32" customHeight="1" x14ac:dyDescent="0.2">
      <c r="A20" s="39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3"/>
    </row>
    <row r="21" spans="1:13" ht="40" customHeight="1" x14ac:dyDescent="0.2">
      <c r="A21" s="45" t="str">
        <f>IFERROR(HYPERLINK("#'Relatórios'!B10","RELATÓRIOS"),"RELATÓRIOS")</f>
        <v>RELATÓRIOS</v>
      </c>
      <c r="B21" s="71" t="s">
        <v>69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3"/>
    </row>
    <row r="22" spans="1:13" ht="13.25" customHeight="1" x14ac:dyDescent="0.2">
      <c r="A22" s="3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 spans="1:13" ht="32" customHeight="1" x14ac:dyDescent="0.2">
      <c r="A23" s="39"/>
      <c r="B23" s="20" t="s">
        <v>70</v>
      </c>
      <c r="C23" s="20"/>
      <c r="D23" s="20"/>
      <c r="E23" s="20"/>
      <c r="F23" s="14">
        <f>COUNT(Transações!$F$12:$F$215)</f>
        <v>3</v>
      </c>
      <c r="G23" s="14"/>
      <c r="H23" s="20" t="s">
        <v>71</v>
      </c>
      <c r="I23" s="20"/>
      <c r="J23" s="20"/>
      <c r="K23" s="14" t="str">
        <f>IF(AND('Dados Pessoais'!E10&lt;&gt;"",'Dados Pessoais'!E11&lt;&gt;"",'Dados Pessoais'!J18&lt;&gt;""),"Preenchidos","Pendentes")</f>
        <v>Pendentes</v>
      </c>
      <c r="L23" s="14"/>
      <c r="M23" s="3"/>
    </row>
    <row r="24" spans="1:13" ht="32" customHeight="1" x14ac:dyDescent="0.2">
      <c r="A24" s="39"/>
      <c r="B24" s="66"/>
      <c r="C24" s="66"/>
      <c r="D24" s="66"/>
      <c r="E24" s="66"/>
      <c r="F24" s="66"/>
      <c r="G24" s="66"/>
      <c r="H24" s="67"/>
      <c r="I24" s="67"/>
      <c r="J24" s="67"/>
      <c r="K24" s="67"/>
      <c r="L24" s="67"/>
      <c r="M24" s="3"/>
    </row>
    <row r="25" spans="1:13" ht="32" customHeight="1" x14ac:dyDescent="0.2">
      <c r="A25" s="39"/>
      <c r="B25" s="66"/>
      <c r="C25" s="66"/>
      <c r="D25" s="66"/>
      <c r="E25" s="66"/>
      <c r="F25" s="66"/>
      <c r="G25" s="66"/>
      <c r="H25" s="67"/>
      <c r="I25" s="67"/>
      <c r="J25" s="67"/>
      <c r="K25" s="67"/>
      <c r="L25" s="67"/>
      <c r="M25" s="3"/>
    </row>
    <row r="26" spans="1:13" ht="37.25" customHeight="1" x14ac:dyDescent="0.2">
      <c r="A26" s="39"/>
      <c r="B26" s="66"/>
      <c r="C26" s="66"/>
      <c r="D26" s="66"/>
      <c r="E26" s="66"/>
      <c r="F26" s="66"/>
      <c r="G26" s="66"/>
      <c r="H26" s="67"/>
      <c r="I26" s="67"/>
      <c r="J26" s="67"/>
      <c r="K26" s="67"/>
      <c r="L26" s="67"/>
      <c r="M26" s="3"/>
    </row>
    <row r="27" spans="1:13" ht="32" customHeight="1" x14ac:dyDescent="0.2">
      <c r="A27" s="39"/>
      <c r="B27" s="66"/>
      <c r="C27" s="66"/>
      <c r="D27" s="66"/>
      <c r="E27" s="66"/>
      <c r="F27" s="66"/>
      <c r="G27" s="66"/>
      <c r="H27" s="67"/>
      <c r="I27" s="67"/>
      <c r="J27" s="67"/>
      <c r="K27" s="67"/>
      <c r="L27" s="67"/>
      <c r="M27" s="3"/>
    </row>
    <row r="28" spans="1:13" ht="32" customHeight="1" x14ac:dyDescent="0.2">
      <c r="A28" s="43" t="s">
        <v>67</v>
      </c>
      <c r="B28" s="66"/>
      <c r="C28" s="66"/>
      <c r="D28" s="66"/>
      <c r="E28" s="66"/>
      <c r="F28" s="66"/>
      <c r="G28" s="66"/>
      <c r="H28" s="67"/>
      <c r="I28" s="67"/>
      <c r="J28" s="67"/>
      <c r="K28" s="67"/>
      <c r="L28" s="67"/>
      <c r="M28" s="3"/>
    </row>
    <row r="29" spans="1:13" ht="32" customHeight="1" x14ac:dyDescent="0.2">
      <c r="A29" s="44" t="s">
        <v>68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3"/>
    </row>
    <row r="30" spans="1:13" ht="32" customHeight="1" x14ac:dyDescent="0.2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3"/>
    </row>
    <row r="31" spans="1:13" ht="32" hidden="1" customHeight="1" x14ac:dyDescent="0.2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spans="1:13" ht="32" hidden="1" customHeight="1" x14ac:dyDescent="0.2">
      <c r="A32" s="39"/>
      <c r="M32" s="59"/>
    </row>
    <row r="33" spans="1:13" ht="32" hidden="1" customHeight="1" x14ac:dyDescent="0.2">
      <c r="A33" s="39"/>
      <c r="M33" s="59"/>
    </row>
    <row r="34" spans="1:13" ht="32" hidden="1" customHeight="1" x14ac:dyDescent="0.2">
      <c r="A34" s="39"/>
      <c r="M34" s="59"/>
    </row>
    <row r="35" spans="1:13" ht="37.25" hidden="1" customHeight="1" x14ac:dyDescent="0.2">
      <c r="A35" s="3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59"/>
    </row>
    <row r="36" spans="1:13" ht="32" hidden="1" customHeight="1" x14ac:dyDescent="0.2">
      <c r="A36" s="3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59"/>
    </row>
    <row r="37" spans="1:13" ht="32" hidden="1" customHeight="1" x14ac:dyDescent="0.2">
      <c r="A37" s="39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9"/>
    </row>
    <row r="38" spans="1:13" ht="32" hidden="1" customHeight="1" x14ac:dyDescent="0.2">
      <c r="A38" s="39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9"/>
    </row>
    <row r="39" spans="1:13" ht="32" hidden="1" customHeight="1" x14ac:dyDescent="0.2">
      <c r="A39" s="39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9"/>
    </row>
    <row r="40" spans="1:13" ht="32" hidden="1" customHeight="1" x14ac:dyDescent="0.2">
      <c r="A40" s="39"/>
      <c r="M40" s="59"/>
    </row>
    <row r="41" spans="1:13" ht="32" hidden="1" customHeight="1" x14ac:dyDescent="0.2">
      <c r="A41" s="39"/>
      <c r="M41" s="59"/>
    </row>
    <row r="42" spans="1:13" ht="32" hidden="1" customHeight="1" x14ac:dyDescent="0.2">
      <c r="A42" s="39"/>
      <c r="M42" s="59"/>
    </row>
    <row r="43" spans="1:13" ht="32" hidden="1" customHeight="1" x14ac:dyDescent="0.2">
      <c r="A43" s="39"/>
      <c r="M43" s="59"/>
    </row>
    <row r="44" spans="1:13" ht="32" hidden="1" customHeight="1" x14ac:dyDescent="0.2">
      <c r="A44" s="3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59"/>
    </row>
    <row r="45" spans="1:13" ht="32" hidden="1" customHeight="1" x14ac:dyDescent="0.2">
      <c r="A45" s="3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59"/>
    </row>
    <row r="46" spans="1:13" ht="32" hidden="1" customHeight="1" x14ac:dyDescent="0.2">
      <c r="A46" s="3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59"/>
    </row>
    <row r="47" spans="1:13" ht="32" hidden="1" customHeight="1" x14ac:dyDescent="0.2">
      <c r="A47" s="3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59"/>
    </row>
    <row r="48" spans="1:13" ht="32" hidden="1" customHeight="1" x14ac:dyDescent="0.2">
      <c r="A48" s="3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59"/>
    </row>
    <row r="49" spans="1:13" ht="32" hidden="1" customHeight="1" x14ac:dyDescent="0.2">
      <c r="A49" s="3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59"/>
    </row>
    <row r="50" spans="1:13" ht="32" hidden="1" customHeight="1" x14ac:dyDescent="0.2">
      <c r="A50" s="3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59"/>
    </row>
    <row r="51" spans="1:13" ht="32" hidden="1" customHeight="1" x14ac:dyDescent="0.2">
      <c r="A51" s="3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59"/>
    </row>
    <row r="52" spans="1:13" ht="32" hidden="1" customHeight="1" x14ac:dyDescent="0.2">
      <c r="A52" s="3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59"/>
    </row>
    <row r="53" spans="1:13" ht="32" hidden="1" customHeight="1" x14ac:dyDescent="0.2">
      <c r="A53" s="3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59"/>
    </row>
    <row r="54" spans="1:13" ht="32" hidden="1" customHeight="1" x14ac:dyDescent="0.2">
      <c r="A54" s="3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59"/>
    </row>
    <row r="55" spans="1:13" ht="32" hidden="1" customHeight="1" x14ac:dyDescent="0.2">
      <c r="A55" s="3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59"/>
    </row>
    <row r="56" spans="1:13" ht="32" hidden="1" customHeight="1" x14ac:dyDescent="0.2">
      <c r="A56" s="3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59"/>
    </row>
    <row r="57" spans="1:13" ht="32" hidden="1" customHeight="1" x14ac:dyDescent="0.2">
      <c r="A57" s="3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59"/>
    </row>
    <row r="58" spans="1:13" ht="32" hidden="1" customHeight="1" x14ac:dyDescent="0.2">
      <c r="A58" s="3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59"/>
    </row>
    <row r="59" spans="1:13" ht="32" hidden="1" customHeight="1" x14ac:dyDescent="0.2">
      <c r="A59" s="3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59"/>
    </row>
    <row r="60" spans="1:13" ht="32" hidden="1" customHeight="1" x14ac:dyDescent="0.2">
      <c r="A60" s="3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59"/>
    </row>
    <row r="61" spans="1:13" ht="32" hidden="1" customHeight="1" x14ac:dyDescent="0.2">
      <c r="A61" s="3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59"/>
    </row>
    <row r="62" spans="1:13" ht="32" hidden="1" customHeight="1" x14ac:dyDescent="0.2">
      <c r="A62" s="3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59"/>
    </row>
    <row r="63" spans="1:13" ht="32" hidden="1" customHeight="1" x14ac:dyDescent="0.2">
      <c r="A63" s="3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59"/>
    </row>
    <row r="64" spans="1:13" ht="32" hidden="1" customHeight="1" x14ac:dyDescent="0.2">
      <c r="A64" s="3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59"/>
    </row>
    <row r="65" spans="1:13" ht="32" hidden="1" customHeight="1" x14ac:dyDescent="0.2">
      <c r="A65" s="3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59"/>
    </row>
    <row r="66" spans="1:13" ht="32" hidden="1" customHeight="1" x14ac:dyDescent="0.2">
      <c r="A66" s="3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59"/>
    </row>
    <row r="67" spans="1:13" ht="32" hidden="1" customHeight="1" x14ac:dyDescent="0.2">
      <c r="A67" s="3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59"/>
    </row>
    <row r="68" spans="1:13" ht="32" hidden="1" customHeight="1" x14ac:dyDescent="0.2">
      <c r="A68" s="3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59"/>
    </row>
    <row r="69" spans="1:13" ht="32" hidden="1" customHeight="1" x14ac:dyDescent="0.2">
      <c r="A69" s="3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59"/>
    </row>
    <row r="70" spans="1:13" ht="32" hidden="1" customHeight="1" x14ac:dyDescent="0.2">
      <c r="A70" s="3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59"/>
    </row>
    <row r="71" spans="1:13" ht="32" hidden="1" customHeight="1" x14ac:dyDescent="0.2">
      <c r="A71" s="3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59"/>
    </row>
    <row r="72" spans="1:13" ht="32" hidden="1" customHeight="1" x14ac:dyDescent="0.2">
      <c r="A72" s="3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59"/>
    </row>
    <row r="73" spans="1:13" ht="32" hidden="1" customHeight="1" x14ac:dyDescent="0.2">
      <c r="A73" s="3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59"/>
    </row>
    <row r="74" spans="1:13" ht="32" hidden="1" customHeight="1" x14ac:dyDescent="0.2">
      <c r="A74" s="3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59"/>
    </row>
    <row r="75" spans="1:13" ht="32" hidden="1" customHeight="1" x14ac:dyDescent="0.2">
      <c r="A75" s="39"/>
    </row>
    <row r="76" spans="1:13" ht="32" hidden="1" customHeight="1" x14ac:dyDescent="0.2">
      <c r="A76" s="39"/>
    </row>
    <row r="77" spans="1:13" ht="32" hidden="1" customHeight="1" x14ac:dyDescent="0.2">
      <c r="A77" s="39"/>
    </row>
    <row r="78" spans="1:13" ht="32" hidden="1" customHeight="1" x14ac:dyDescent="0.2">
      <c r="A78" s="39"/>
    </row>
    <row r="79" spans="1:13" ht="32" hidden="1" customHeight="1" x14ac:dyDescent="0.2">
      <c r="A79" s="39"/>
    </row>
    <row r="80" spans="1:13" ht="32" hidden="1" customHeight="1" x14ac:dyDescent="0.2">
      <c r="A80" s="39"/>
    </row>
    <row r="81" spans="1:1" ht="32" hidden="1" customHeight="1" x14ac:dyDescent="0.2">
      <c r="A81" s="39"/>
    </row>
    <row r="82" spans="1:1" ht="32" hidden="1" customHeight="1" x14ac:dyDescent="0.2">
      <c r="A82" s="39"/>
    </row>
    <row r="83" spans="1:1" ht="32" hidden="1" customHeight="1" x14ac:dyDescent="0.2">
      <c r="A83" s="39"/>
    </row>
    <row r="84" spans="1:1" ht="32" hidden="1" customHeight="1" x14ac:dyDescent="0.2">
      <c r="A84" s="39"/>
    </row>
    <row r="85" spans="1:1" ht="32" hidden="1" customHeight="1" x14ac:dyDescent="0.2">
      <c r="A85" s="39"/>
    </row>
    <row r="86" spans="1:1" ht="32" hidden="1" customHeight="1" x14ac:dyDescent="0.2">
      <c r="A86" s="39"/>
    </row>
    <row r="87" spans="1:1" ht="32" hidden="1" customHeight="1" x14ac:dyDescent="0.2">
      <c r="A87" s="39"/>
    </row>
    <row r="88" spans="1:1" ht="32" hidden="1" customHeight="1" x14ac:dyDescent="0.2">
      <c r="A88" s="39"/>
    </row>
    <row r="89" spans="1:1" ht="32" hidden="1" customHeight="1" x14ac:dyDescent="0.2">
      <c r="A89" s="39"/>
    </row>
    <row r="90" spans="1:1" ht="32" hidden="1" customHeight="1" x14ac:dyDescent="0.2">
      <c r="A90" s="39"/>
    </row>
    <row r="91" spans="1:1" ht="32" hidden="1" customHeight="1" x14ac:dyDescent="0.2">
      <c r="A91" s="39"/>
    </row>
    <row r="92" spans="1:1" ht="32" hidden="1" customHeight="1" x14ac:dyDescent="0.2">
      <c r="A92" s="39"/>
    </row>
    <row r="93" spans="1:1" ht="32" hidden="1" customHeight="1" x14ac:dyDescent="0.2">
      <c r="A93" s="39"/>
    </row>
    <row r="94" spans="1:1" ht="32" hidden="1" customHeight="1" x14ac:dyDescent="0.2">
      <c r="A94" s="39"/>
    </row>
    <row r="95" spans="1:1" ht="32" hidden="1" customHeight="1" x14ac:dyDescent="0.2">
      <c r="A95" s="39"/>
    </row>
    <row r="96" spans="1:1" ht="32" hidden="1" customHeight="1" x14ac:dyDescent="0.2">
      <c r="A96" s="39"/>
    </row>
    <row r="97" spans="1:1" ht="32" hidden="1" customHeight="1" x14ac:dyDescent="0.2">
      <c r="A97" s="39"/>
    </row>
    <row r="98" spans="1:1" ht="32" hidden="1" customHeight="1" x14ac:dyDescent="0.2">
      <c r="A98" s="39"/>
    </row>
    <row r="99" spans="1:1" ht="32" hidden="1" customHeight="1" x14ac:dyDescent="0.2">
      <c r="A99" s="39"/>
    </row>
    <row r="100" spans="1:1" ht="32" hidden="1" customHeight="1" x14ac:dyDescent="0.2">
      <c r="A100" s="39"/>
    </row>
    <row r="101" spans="1:1" ht="32" hidden="1" customHeight="1" x14ac:dyDescent="0.2">
      <c r="A101" s="39"/>
    </row>
    <row r="102" spans="1:1" ht="32" hidden="1" customHeight="1" x14ac:dyDescent="0.2">
      <c r="A102" s="39"/>
    </row>
    <row r="103" spans="1:1" ht="32" hidden="1" customHeight="1" x14ac:dyDescent="0.2">
      <c r="A103" s="39"/>
    </row>
    <row r="104" spans="1:1" ht="32" hidden="1" customHeight="1" x14ac:dyDescent="0.2">
      <c r="A104" s="39"/>
    </row>
    <row r="105" spans="1:1" ht="32" hidden="1" customHeight="1" x14ac:dyDescent="0.2">
      <c r="A105" s="39"/>
    </row>
    <row r="106" spans="1:1" ht="32" hidden="1" customHeight="1" x14ac:dyDescent="0.2">
      <c r="A106" s="39"/>
    </row>
    <row r="107" spans="1:1" ht="32" hidden="1" customHeight="1" x14ac:dyDescent="0.2">
      <c r="A107" s="39"/>
    </row>
    <row r="108" spans="1:1" ht="32" hidden="1" customHeight="1" x14ac:dyDescent="0.2">
      <c r="A108" s="39"/>
    </row>
    <row r="109" spans="1:1" ht="32" hidden="1" customHeight="1" x14ac:dyDescent="0.2">
      <c r="A109" s="39"/>
    </row>
    <row r="110" spans="1:1" ht="32" hidden="1" customHeight="1" x14ac:dyDescent="0.2">
      <c r="A110" s="39"/>
    </row>
    <row r="111" spans="1:1" ht="32" hidden="1" customHeight="1" x14ac:dyDescent="0.2">
      <c r="A111" s="39"/>
    </row>
    <row r="112" spans="1:1" ht="32" hidden="1" customHeight="1" x14ac:dyDescent="0.2">
      <c r="A112" s="39"/>
    </row>
    <row r="113" spans="1:1" ht="32" hidden="1" customHeight="1" x14ac:dyDescent="0.2">
      <c r="A113" s="39"/>
    </row>
    <row r="114" spans="1:1" ht="32" hidden="1" customHeight="1" x14ac:dyDescent="0.2">
      <c r="A114" s="39"/>
    </row>
    <row r="115" spans="1:1" ht="32" hidden="1" customHeight="1" x14ac:dyDescent="0.2">
      <c r="A115" s="39"/>
    </row>
    <row r="116" spans="1:1" ht="32" hidden="1" customHeight="1" x14ac:dyDescent="0.2">
      <c r="A116" s="39"/>
    </row>
    <row r="117" spans="1:1" ht="32" hidden="1" customHeight="1" x14ac:dyDescent="0.2">
      <c r="A117" s="39"/>
    </row>
    <row r="118" spans="1:1" ht="32" hidden="1" customHeight="1" x14ac:dyDescent="0.2">
      <c r="A118" s="39"/>
    </row>
    <row r="119" spans="1:1" ht="32" hidden="1" customHeight="1" x14ac:dyDescent="0.2">
      <c r="A119" s="39"/>
    </row>
    <row r="120" spans="1:1" ht="32" hidden="1" customHeight="1" x14ac:dyDescent="0.2">
      <c r="A120" s="39"/>
    </row>
    <row r="121" spans="1:1" ht="32" hidden="1" customHeight="1" x14ac:dyDescent="0.2">
      <c r="A121" s="39"/>
    </row>
    <row r="122" spans="1:1" ht="32" hidden="1" customHeight="1" x14ac:dyDescent="0.2">
      <c r="A122" s="39"/>
    </row>
    <row r="123" spans="1:1" ht="32" hidden="1" customHeight="1" x14ac:dyDescent="0.2">
      <c r="A123" s="39"/>
    </row>
    <row r="124" spans="1:1" ht="32" hidden="1" customHeight="1" x14ac:dyDescent="0.2">
      <c r="A124" s="39"/>
    </row>
    <row r="125" spans="1:1" ht="32" hidden="1" customHeight="1" x14ac:dyDescent="0.2">
      <c r="A125" s="39"/>
    </row>
    <row r="126" spans="1:1" ht="32" hidden="1" customHeight="1" x14ac:dyDescent="0.2">
      <c r="A126" s="39"/>
    </row>
    <row r="127" spans="1:1" ht="32" hidden="1" customHeight="1" x14ac:dyDescent="0.2">
      <c r="A127" s="39"/>
    </row>
    <row r="128" spans="1:1" ht="32" hidden="1" customHeight="1" x14ac:dyDescent="0.2">
      <c r="A128" s="39"/>
    </row>
    <row r="129" spans="1:1" ht="32" hidden="1" customHeight="1" x14ac:dyDescent="0.2">
      <c r="A129" s="39"/>
    </row>
    <row r="130" spans="1:1" ht="32" hidden="1" customHeight="1" x14ac:dyDescent="0.2">
      <c r="A130" s="39"/>
    </row>
    <row r="131" spans="1:1" ht="32" hidden="1" customHeight="1" x14ac:dyDescent="0.2">
      <c r="A131" s="39"/>
    </row>
    <row r="132" spans="1:1" ht="32" hidden="1" customHeight="1" x14ac:dyDescent="0.2">
      <c r="A132" s="39"/>
    </row>
    <row r="133" spans="1:1" ht="32" hidden="1" customHeight="1" x14ac:dyDescent="0.2">
      <c r="A133" s="39"/>
    </row>
    <row r="134" spans="1:1" ht="32" hidden="1" customHeight="1" x14ac:dyDescent="0.2">
      <c r="A134" s="39"/>
    </row>
    <row r="135" spans="1:1" ht="32" hidden="1" customHeight="1" x14ac:dyDescent="0.2">
      <c r="A135" s="39"/>
    </row>
    <row r="136" spans="1:1" ht="32" hidden="1" customHeight="1" x14ac:dyDescent="0.2">
      <c r="A136" s="39"/>
    </row>
    <row r="137" spans="1:1" ht="32" hidden="1" customHeight="1" x14ac:dyDescent="0.2">
      <c r="A137" s="39"/>
    </row>
    <row r="138" spans="1:1" ht="32" hidden="1" customHeight="1" x14ac:dyDescent="0.2">
      <c r="A138" s="39"/>
    </row>
    <row r="139" spans="1:1" ht="32" hidden="1" customHeight="1" x14ac:dyDescent="0.2">
      <c r="A139" s="39"/>
    </row>
    <row r="140" spans="1:1" ht="32" hidden="1" customHeight="1" x14ac:dyDescent="0.2">
      <c r="A140" s="39"/>
    </row>
    <row r="141" spans="1:1" ht="32" hidden="1" customHeight="1" x14ac:dyDescent="0.2">
      <c r="A141" s="39"/>
    </row>
    <row r="142" spans="1:1" ht="32" hidden="1" customHeight="1" x14ac:dyDescent="0.2">
      <c r="A142" s="39"/>
    </row>
    <row r="143" spans="1:1" ht="32" hidden="1" customHeight="1" x14ac:dyDescent="0.2">
      <c r="A143" s="39"/>
    </row>
    <row r="144" spans="1:1" ht="32" hidden="1" customHeight="1" x14ac:dyDescent="0.2">
      <c r="A144" s="39"/>
    </row>
    <row r="145" spans="1:1" ht="32" hidden="1" customHeight="1" x14ac:dyDescent="0.2">
      <c r="A145" s="39"/>
    </row>
    <row r="146" spans="1:1" ht="32" hidden="1" customHeight="1" x14ac:dyDescent="0.2">
      <c r="A146" s="39"/>
    </row>
    <row r="147" spans="1:1" ht="32" hidden="1" customHeight="1" x14ac:dyDescent="0.2">
      <c r="A147" s="39"/>
    </row>
    <row r="148" spans="1:1" ht="32" hidden="1" customHeight="1" x14ac:dyDescent="0.2">
      <c r="A148" s="39"/>
    </row>
    <row r="149" spans="1:1" ht="32" hidden="1" customHeight="1" x14ac:dyDescent="0.2">
      <c r="A149" s="39"/>
    </row>
    <row r="150" spans="1:1" ht="32" hidden="1" customHeight="1" x14ac:dyDescent="0.2">
      <c r="A150" s="39"/>
    </row>
    <row r="151" spans="1:1" ht="32" hidden="1" customHeight="1" x14ac:dyDescent="0.2">
      <c r="A151" s="39"/>
    </row>
    <row r="152" spans="1:1" ht="32" hidden="1" customHeight="1" x14ac:dyDescent="0.2">
      <c r="A152" s="39"/>
    </row>
    <row r="153" spans="1:1" ht="32" hidden="1" customHeight="1" x14ac:dyDescent="0.2">
      <c r="A153" s="39"/>
    </row>
    <row r="154" spans="1:1" ht="32" hidden="1" customHeight="1" x14ac:dyDescent="0.2">
      <c r="A154" s="39"/>
    </row>
    <row r="155" spans="1:1" ht="32" hidden="1" customHeight="1" x14ac:dyDescent="0.2">
      <c r="A155" s="39"/>
    </row>
    <row r="156" spans="1:1" ht="32" hidden="1" customHeight="1" x14ac:dyDescent="0.2">
      <c r="A156" s="39"/>
    </row>
    <row r="157" spans="1:1" ht="32" hidden="1" customHeight="1" x14ac:dyDescent="0.2">
      <c r="A157" s="39"/>
    </row>
    <row r="158" spans="1:1" ht="32" hidden="1" customHeight="1" x14ac:dyDescent="0.2">
      <c r="A158" s="39"/>
    </row>
    <row r="159" spans="1:1" ht="32" hidden="1" customHeight="1" x14ac:dyDescent="0.2">
      <c r="A159" s="39"/>
    </row>
    <row r="160" spans="1:1" ht="32" hidden="1" customHeight="1" x14ac:dyDescent="0.2">
      <c r="A160" s="39"/>
    </row>
    <row r="161" spans="1:1" ht="32" hidden="1" customHeight="1" x14ac:dyDescent="0.2">
      <c r="A161" s="39"/>
    </row>
    <row r="162" spans="1:1" ht="32" hidden="1" customHeight="1" x14ac:dyDescent="0.2">
      <c r="A162" s="39"/>
    </row>
    <row r="163" spans="1:1" ht="32" hidden="1" customHeight="1" x14ac:dyDescent="0.2">
      <c r="A163" s="39"/>
    </row>
    <row r="164" spans="1:1" ht="32" hidden="1" customHeight="1" x14ac:dyDescent="0.2">
      <c r="A164" s="39"/>
    </row>
    <row r="165" spans="1:1" ht="32" hidden="1" customHeight="1" x14ac:dyDescent="0.2">
      <c r="A165" s="39"/>
    </row>
    <row r="166" spans="1:1" ht="32" hidden="1" customHeight="1" x14ac:dyDescent="0.2">
      <c r="A166" s="39"/>
    </row>
    <row r="167" spans="1:1" ht="32" hidden="1" customHeight="1" x14ac:dyDescent="0.2">
      <c r="A167" s="39"/>
    </row>
    <row r="168" spans="1:1" ht="32" hidden="1" customHeight="1" x14ac:dyDescent="0.2">
      <c r="A168" s="39"/>
    </row>
    <row r="169" spans="1:1" ht="32" hidden="1" customHeight="1" x14ac:dyDescent="0.2">
      <c r="A169" s="39"/>
    </row>
    <row r="170" spans="1:1" ht="32" hidden="1" customHeight="1" x14ac:dyDescent="0.2">
      <c r="A170" s="39"/>
    </row>
    <row r="171" spans="1:1" ht="32" hidden="1" customHeight="1" x14ac:dyDescent="0.2">
      <c r="A171" s="39"/>
    </row>
    <row r="172" spans="1:1" ht="32" hidden="1" customHeight="1" x14ac:dyDescent="0.2">
      <c r="A172" s="39"/>
    </row>
    <row r="173" spans="1:1" ht="32" hidden="1" customHeight="1" x14ac:dyDescent="0.2">
      <c r="A173" s="39"/>
    </row>
    <row r="174" spans="1:1" ht="32" hidden="1" customHeight="1" x14ac:dyDescent="0.2">
      <c r="A174" s="39"/>
    </row>
    <row r="175" spans="1:1" ht="32" hidden="1" customHeight="1" x14ac:dyDescent="0.2">
      <c r="A175" s="39"/>
    </row>
    <row r="176" spans="1:1" ht="32" hidden="1" customHeight="1" x14ac:dyDescent="0.2">
      <c r="A176" s="39"/>
    </row>
    <row r="177" spans="1:1" ht="32" hidden="1" customHeight="1" x14ac:dyDescent="0.2">
      <c r="A177" s="39"/>
    </row>
    <row r="178" spans="1:1" ht="32" hidden="1" customHeight="1" x14ac:dyDescent="0.2">
      <c r="A178" s="39"/>
    </row>
    <row r="179" spans="1:1" ht="32" hidden="1" customHeight="1" x14ac:dyDescent="0.2">
      <c r="A179" s="39"/>
    </row>
    <row r="180" spans="1:1" ht="32" hidden="1" customHeight="1" x14ac:dyDescent="0.2">
      <c r="A180" s="39"/>
    </row>
    <row r="181" spans="1:1" ht="32" hidden="1" customHeight="1" x14ac:dyDescent="0.2">
      <c r="A181" s="39"/>
    </row>
    <row r="182" spans="1:1" ht="32" hidden="1" customHeight="1" x14ac:dyDescent="0.2">
      <c r="A182" s="39"/>
    </row>
    <row r="183" spans="1:1" ht="32" hidden="1" customHeight="1" x14ac:dyDescent="0.2">
      <c r="A183" s="39"/>
    </row>
    <row r="184" spans="1:1" ht="32" hidden="1" customHeight="1" x14ac:dyDescent="0.2">
      <c r="A184" s="39"/>
    </row>
    <row r="185" spans="1:1" ht="32" hidden="1" customHeight="1" x14ac:dyDescent="0.2">
      <c r="A185" s="39"/>
    </row>
    <row r="186" spans="1:1" ht="32" hidden="1" customHeight="1" x14ac:dyDescent="0.2">
      <c r="A186" s="39"/>
    </row>
    <row r="187" spans="1:1" ht="32" hidden="1" customHeight="1" x14ac:dyDescent="0.2">
      <c r="A187" s="39"/>
    </row>
    <row r="188" spans="1:1" ht="32" hidden="1" customHeight="1" x14ac:dyDescent="0.2">
      <c r="A188" s="39"/>
    </row>
    <row r="189" spans="1:1" ht="32" hidden="1" customHeight="1" x14ac:dyDescent="0.2">
      <c r="A189" s="39"/>
    </row>
    <row r="190" spans="1:1" ht="32" hidden="1" customHeight="1" x14ac:dyDescent="0.2">
      <c r="A190" s="39"/>
    </row>
    <row r="191" spans="1:1" ht="32" hidden="1" customHeight="1" x14ac:dyDescent="0.2">
      <c r="A191" s="39"/>
    </row>
    <row r="192" spans="1:1" ht="32" hidden="1" customHeight="1" x14ac:dyDescent="0.2">
      <c r="A192" s="39"/>
    </row>
    <row r="193" spans="1:1" ht="32" hidden="1" customHeight="1" x14ac:dyDescent="0.2">
      <c r="A193" s="39"/>
    </row>
    <row r="194" spans="1:1" ht="32" hidden="1" customHeight="1" x14ac:dyDescent="0.2">
      <c r="A194" s="39"/>
    </row>
    <row r="195" spans="1:1" ht="32" hidden="1" customHeight="1" x14ac:dyDescent="0.2">
      <c r="A195" s="39"/>
    </row>
    <row r="196" spans="1:1" ht="32" hidden="1" customHeight="1" x14ac:dyDescent="0.2">
      <c r="A196" s="39"/>
    </row>
    <row r="197" spans="1:1" ht="32" hidden="1" customHeight="1" x14ac:dyDescent="0.2">
      <c r="A197" s="39"/>
    </row>
    <row r="198" spans="1:1" ht="32" hidden="1" customHeight="1" x14ac:dyDescent="0.2">
      <c r="A198" s="39"/>
    </row>
    <row r="199" spans="1:1" ht="32" hidden="1" customHeight="1" x14ac:dyDescent="0.2">
      <c r="A199" s="39"/>
    </row>
    <row r="200" spans="1:1" ht="32" hidden="1" customHeight="1" x14ac:dyDescent="0.2">
      <c r="A200" s="39"/>
    </row>
    <row r="201" spans="1:1" ht="32" hidden="1" customHeight="1" x14ac:dyDescent="0.2">
      <c r="A201" s="39"/>
    </row>
    <row r="202" spans="1:1" ht="32" hidden="1" customHeight="1" x14ac:dyDescent="0.2">
      <c r="A202" s="39"/>
    </row>
    <row r="203" spans="1:1" ht="32" hidden="1" customHeight="1" x14ac:dyDescent="0.2">
      <c r="A203" s="39"/>
    </row>
    <row r="204" spans="1:1" ht="32" hidden="1" customHeight="1" x14ac:dyDescent="0.2">
      <c r="A204" s="39"/>
    </row>
    <row r="205" spans="1:1" ht="32" hidden="1" customHeight="1" x14ac:dyDescent="0.2">
      <c r="A205" s="39"/>
    </row>
    <row r="206" spans="1:1" ht="32" hidden="1" customHeight="1" x14ac:dyDescent="0.2">
      <c r="A206" s="39"/>
    </row>
    <row r="207" spans="1:1" ht="32" hidden="1" customHeight="1" x14ac:dyDescent="0.2">
      <c r="A207" s="39"/>
    </row>
    <row r="208" spans="1:1" ht="32" hidden="1" customHeight="1" x14ac:dyDescent="0.2">
      <c r="A208" s="39"/>
    </row>
    <row r="209" spans="1:1" ht="32" hidden="1" customHeight="1" x14ac:dyDescent="0.2">
      <c r="A209" s="39"/>
    </row>
    <row r="210" spans="1:1" ht="32" hidden="1" customHeight="1" x14ac:dyDescent="0.2">
      <c r="A210" s="39"/>
    </row>
    <row r="211" spans="1:1" ht="32" hidden="1" customHeight="1" x14ac:dyDescent="0.2">
      <c r="A211" s="39"/>
    </row>
    <row r="212" spans="1:1" ht="32" hidden="1" customHeight="1" x14ac:dyDescent="0.2">
      <c r="A212" s="39"/>
    </row>
    <row r="213" spans="1:1" ht="32" hidden="1" customHeight="1" x14ac:dyDescent="0.2">
      <c r="A213" s="39"/>
    </row>
    <row r="214" spans="1:1" ht="32" hidden="1" customHeight="1" x14ac:dyDescent="0.2">
      <c r="A214" s="39"/>
    </row>
    <row r="215" spans="1:1" ht="32" hidden="1" customHeight="1" x14ac:dyDescent="0.2">
      <c r="A215" s="39"/>
    </row>
    <row r="216" spans="1:1" ht="32" hidden="1" customHeight="1" x14ac:dyDescent="0.2">
      <c r="A216" s="39"/>
    </row>
    <row r="217" spans="1:1" ht="32" hidden="1" customHeight="1" x14ac:dyDescent="0.2">
      <c r="A217" s="39"/>
    </row>
    <row r="218" spans="1:1" ht="32" hidden="1" customHeight="1" x14ac:dyDescent="0.2">
      <c r="A218" s="39"/>
    </row>
    <row r="219" spans="1:1" ht="32" hidden="1" customHeight="1" x14ac:dyDescent="0.2">
      <c r="A219" s="39"/>
    </row>
    <row r="220" spans="1:1" ht="32" hidden="1" customHeight="1" x14ac:dyDescent="0.2"/>
    <row r="221" spans="1:1" ht="32" hidden="1" customHeight="1" x14ac:dyDescent="0.2"/>
    <row r="222" spans="1:1" ht="32" hidden="1" customHeight="1" x14ac:dyDescent="0.2"/>
    <row r="223" spans="1:1" ht="32" hidden="1" customHeight="1" x14ac:dyDescent="0.2"/>
    <row r="224" spans="1:1" ht="32" hidden="1" customHeight="1" x14ac:dyDescent="0.2"/>
    <row r="225" ht="32" hidden="1" customHeight="1" x14ac:dyDescent="0.2"/>
    <row r="226" ht="32" hidden="1" customHeight="1" x14ac:dyDescent="0.2"/>
    <row r="227" ht="32" hidden="1" customHeight="1" x14ac:dyDescent="0.2"/>
    <row r="228" ht="32" hidden="1" customHeight="1" x14ac:dyDescent="0.2"/>
    <row r="229" ht="32" hidden="1" customHeight="1" x14ac:dyDescent="0.2"/>
    <row r="230" x14ac:dyDescent="0.2"/>
  </sheetData>
  <mergeCells count="4">
    <mergeCell ref="B37:L39"/>
    <mergeCell ref="A1:A6"/>
    <mergeCell ref="E2:H3"/>
    <mergeCell ref="I2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0"/>
  <sheetViews>
    <sheetView showGridLines="0" zoomScale="90" zoomScaleNormal="90" workbookViewId="0">
      <pane ySplit="15" topLeftCell="A16" activePane="bottomLeft" state="frozen"/>
      <selection pane="bottomLeft" activeCell="A26" sqref="A26"/>
    </sheetView>
  </sheetViews>
  <sheetFormatPr baseColWidth="10" defaultColWidth="0" defaultRowHeight="15" zeroHeight="1" x14ac:dyDescent="0.2"/>
  <cols>
    <col min="1" max="1" width="27" style="1" customWidth="1"/>
    <col min="2" max="2" width="18" customWidth="1"/>
    <col min="3" max="3" width="17" customWidth="1"/>
    <col min="4" max="4" width="19" customWidth="1"/>
    <col min="5" max="5" width="22" customWidth="1"/>
    <col min="6" max="6" width="17" customWidth="1"/>
    <col min="7" max="7" width="19" customWidth="1"/>
    <col min="8" max="8" width="17" customWidth="1"/>
    <col min="9" max="9" width="18" customWidth="1"/>
    <col min="10" max="11" width="17" customWidth="1"/>
    <col min="12" max="12" width="21" customWidth="1"/>
    <col min="13" max="13" width="3" customWidth="1"/>
    <col min="14" max="16384" width="8.83203125" hidden="1"/>
  </cols>
  <sheetData>
    <row r="1" spans="1:13" ht="17" customHeight="1" x14ac:dyDescent="0.2">
      <c r="A1" s="54" t="e" vm="1">
        <v>#VALUE!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">
      <c r="A2" s="54"/>
      <c r="B2" s="41"/>
      <c r="C2" s="41"/>
      <c r="D2" s="41"/>
      <c r="E2" s="46" t="s">
        <v>50</v>
      </c>
      <c r="F2" s="47"/>
      <c r="G2" s="47"/>
      <c r="H2" s="47"/>
      <c r="I2" s="48" t="s">
        <v>51</v>
      </c>
      <c r="J2" s="49"/>
      <c r="K2" s="49"/>
      <c r="L2" s="49"/>
      <c r="M2" s="3"/>
    </row>
    <row r="3" spans="1:13" x14ac:dyDescent="0.2">
      <c r="A3" s="54"/>
      <c r="B3" s="41"/>
      <c r="C3" s="41"/>
      <c r="D3" s="41"/>
      <c r="E3" s="47"/>
      <c r="F3" s="47"/>
      <c r="G3" s="47"/>
      <c r="H3" s="47"/>
      <c r="I3" s="49"/>
      <c r="J3" s="49"/>
      <c r="K3" s="49"/>
      <c r="L3" s="49"/>
      <c r="M3" s="3"/>
    </row>
    <row r="4" spans="1:13" ht="22" customHeight="1" x14ac:dyDescent="0.2">
      <c r="A4" s="54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3"/>
    </row>
    <row r="5" spans="1:13" ht="12" customHeight="1" x14ac:dyDescent="0.2">
      <c r="A5" s="54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3"/>
    </row>
    <row r="6" spans="1:13" ht="26" customHeight="1" x14ac:dyDescent="0.2">
      <c r="A6" s="54"/>
      <c r="B6" s="5" t="s">
        <v>72</v>
      </c>
      <c r="C6" s="5"/>
      <c r="D6" s="5"/>
      <c r="E6" s="5"/>
      <c r="F6" s="5"/>
      <c r="G6" s="5"/>
      <c r="H6" s="5"/>
      <c r="I6" s="5"/>
      <c r="J6" s="5"/>
      <c r="K6" s="5"/>
      <c r="L6" s="5"/>
      <c r="M6" s="3"/>
    </row>
    <row r="7" spans="1:13" ht="26" customHeight="1" x14ac:dyDescent="0.2">
      <c r="A7" s="40" t="s">
        <v>52</v>
      </c>
      <c r="B7" s="58" t="s">
        <v>73</v>
      </c>
      <c r="C7" s="58"/>
      <c r="D7" s="58"/>
      <c r="E7" s="58"/>
      <c r="F7" s="7"/>
      <c r="G7" s="7"/>
      <c r="H7" s="7"/>
      <c r="I7" s="7"/>
      <c r="J7" s="7"/>
      <c r="K7" s="7"/>
      <c r="L7" s="7"/>
      <c r="M7" s="3"/>
    </row>
    <row r="8" spans="1:13" ht="10" customHeight="1" x14ac:dyDescent="0.2">
      <c r="A8" s="39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3"/>
    </row>
    <row r="9" spans="1:13" ht="30" customHeight="1" x14ac:dyDescent="0.2">
      <c r="A9" s="45" t="str">
        <f>IFERROR(HYPERLINK("#'Início'!B10","INÍCIO"),"INÍCIO")</f>
        <v>INÍCIO</v>
      </c>
      <c r="B9" s="19" t="s">
        <v>214</v>
      </c>
      <c r="C9" s="19"/>
      <c r="D9" s="19"/>
      <c r="E9" s="19"/>
      <c r="F9" s="19"/>
      <c r="G9" s="19"/>
      <c r="H9" s="19"/>
      <c r="I9" s="19"/>
      <c r="J9" s="19" t="s">
        <v>74</v>
      </c>
      <c r="K9" s="19"/>
      <c r="L9" s="19"/>
      <c r="M9" s="3"/>
    </row>
    <row r="10" spans="1:13" x14ac:dyDescent="0.2">
      <c r="A10" s="39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</row>
    <row r="11" spans="1:13" ht="32" x14ac:dyDescent="0.2">
      <c r="A11" s="39"/>
      <c r="B11" s="21" t="s">
        <v>75</v>
      </c>
      <c r="C11" s="21" t="s">
        <v>76</v>
      </c>
      <c r="D11" s="21" t="s">
        <v>77</v>
      </c>
      <c r="E11" s="21" t="s">
        <v>78</v>
      </c>
      <c r="F11" s="21" t="s">
        <v>79</v>
      </c>
      <c r="G11" s="21" t="s">
        <v>80</v>
      </c>
      <c r="H11" s="21" t="s">
        <v>81</v>
      </c>
      <c r="I11" s="21" t="s">
        <v>82</v>
      </c>
      <c r="J11" s="4" t="s">
        <v>56</v>
      </c>
      <c r="K11" s="4"/>
      <c r="L11" s="4"/>
      <c r="M11" s="3"/>
    </row>
    <row r="12" spans="1:13" ht="30" customHeight="1" x14ac:dyDescent="0.2">
      <c r="A12" s="42" t="str">
        <f>IFERROR(HYPERLINK("#'Transações'!B10","TRANSAÇÕES"),"TRANSAÇÕES")</f>
        <v>TRANSAÇÕES</v>
      </c>
      <c r="B12" s="23">
        <v>45945</v>
      </c>
      <c r="C12" s="6" t="s">
        <v>161</v>
      </c>
      <c r="D12" s="6" t="s">
        <v>215</v>
      </c>
      <c r="E12" s="6" t="s">
        <v>224</v>
      </c>
      <c r="F12" s="24">
        <v>1615</v>
      </c>
      <c r="G12" s="6" t="s">
        <v>216</v>
      </c>
      <c r="H12" s="6"/>
      <c r="I12" s="6" t="s">
        <v>168</v>
      </c>
      <c r="J12" s="25">
        <f>Início!L10</f>
        <v>2025</v>
      </c>
      <c r="K12" s="9"/>
      <c r="L12" s="9"/>
      <c r="M12" s="3"/>
    </row>
    <row r="13" spans="1:13" x14ac:dyDescent="0.2">
      <c r="A13" s="39"/>
      <c r="B13" s="23">
        <v>45946</v>
      </c>
      <c r="C13" s="6" t="s">
        <v>166</v>
      </c>
      <c r="D13" s="6" t="s">
        <v>215</v>
      </c>
      <c r="E13" s="6" t="s">
        <v>218</v>
      </c>
      <c r="F13" s="24">
        <v>465</v>
      </c>
      <c r="G13" s="6" t="s">
        <v>217</v>
      </c>
      <c r="H13" s="6"/>
      <c r="I13" s="6" t="s">
        <v>173</v>
      </c>
      <c r="J13" s="9"/>
      <c r="K13" s="9"/>
      <c r="L13" s="9"/>
      <c r="M13" s="3"/>
    </row>
    <row r="14" spans="1:13" ht="24" customHeight="1" x14ac:dyDescent="0.2">
      <c r="A14" s="39"/>
      <c r="B14" s="23">
        <v>45658</v>
      </c>
      <c r="C14" s="6" t="s">
        <v>166</v>
      </c>
      <c r="D14" s="6" t="s">
        <v>215</v>
      </c>
      <c r="E14" s="6" t="s">
        <v>220</v>
      </c>
      <c r="F14" s="24">
        <v>146</v>
      </c>
      <c r="G14" s="6" t="s">
        <v>221</v>
      </c>
      <c r="H14" s="6"/>
      <c r="I14" s="6" t="s">
        <v>168</v>
      </c>
      <c r="J14" s="9"/>
      <c r="K14" s="9"/>
      <c r="L14" s="9"/>
      <c r="M14" s="3"/>
    </row>
    <row r="15" spans="1:13" ht="30" customHeight="1" x14ac:dyDescent="0.2">
      <c r="A15" s="45" t="str">
        <f>IFERROR(HYPERLINK("#'Dados Pessoais'!B10","DADOS PESSOAIS"),"DADOS PESSOAIS")</f>
        <v>DADOS PESSOAIS</v>
      </c>
      <c r="B15" s="23"/>
      <c r="C15" s="6"/>
      <c r="D15" s="6"/>
      <c r="E15" s="6"/>
      <c r="F15" s="24"/>
      <c r="G15" s="6"/>
      <c r="H15" s="6"/>
      <c r="I15" s="6"/>
      <c r="J15" s="4" t="s">
        <v>83</v>
      </c>
      <c r="K15" s="4"/>
      <c r="L15" s="4"/>
      <c r="M15" s="3"/>
    </row>
    <row r="16" spans="1:13" x14ac:dyDescent="0.2">
      <c r="A16" s="39"/>
      <c r="B16" s="23"/>
      <c r="C16" s="6"/>
      <c r="D16" s="6"/>
      <c r="E16" s="6"/>
      <c r="F16" s="24"/>
      <c r="G16" s="6"/>
      <c r="H16" s="6"/>
      <c r="I16" s="6"/>
      <c r="J16" s="17">
        <f>Início!B16</f>
        <v>1615</v>
      </c>
      <c r="K16" s="9"/>
      <c r="L16" s="9"/>
      <c r="M16" s="3"/>
    </row>
    <row r="17" spans="1:13" ht="25" customHeight="1" x14ac:dyDescent="0.2">
      <c r="A17" s="39"/>
      <c r="B17" s="23"/>
      <c r="C17" s="6"/>
      <c r="D17" s="6"/>
      <c r="E17" s="6"/>
      <c r="F17" s="24"/>
      <c r="G17" s="6"/>
      <c r="H17" s="6"/>
      <c r="I17" s="6"/>
      <c r="J17" s="9"/>
      <c r="K17" s="9"/>
      <c r="L17" s="9"/>
      <c r="M17" s="3"/>
    </row>
    <row r="18" spans="1:13" ht="30" customHeight="1" x14ac:dyDescent="0.2">
      <c r="A18" s="45" t="str">
        <f>IFERROR(HYPERLINK("#'INFORMES'!B10","INFORMES"),"INFORMES")</f>
        <v>INFORMES</v>
      </c>
      <c r="B18" s="23"/>
      <c r="C18" s="6"/>
      <c r="D18" s="6"/>
      <c r="E18" s="6"/>
      <c r="F18" s="24"/>
      <c r="G18" s="6"/>
      <c r="H18" s="6"/>
      <c r="I18" s="6"/>
      <c r="J18" s="9"/>
      <c r="K18" s="9"/>
      <c r="L18" s="9"/>
      <c r="M18" s="3"/>
    </row>
    <row r="19" spans="1:13" ht="10" customHeight="1" x14ac:dyDescent="0.2">
      <c r="A19" s="39"/>
      <c r="B19" s="23"/>
      <c r="C19" s="6"/>
      <c r="D19" s="6"/>
      <c r="E19" s="6"/>
      <c r="F19" s="24"/>
      <c r="G19" s="6"/>
      <c r="H19" s="6"/>
      <c r="I19" s="6"/>
      <c r="J19" s="4" t="s">
        <v>84</v>
      </c>
      <c r="K19" s="4"/>
      <c r="L19" s="4"/>
      <c r="M19" s="3"/>
    </row>
    <row r="20" spans="1:13" ht="25" customHeight="1" x14ac:dyDescent="0.2">
      <c r="A20" s="39"/>
      <c r="B20" s="23"/>
      <c r="C20" s="6"/>
      <c r="D20" s="6"/>
      <c r="E20" s="6"/>
      <c r="F20" s="24"/>
      <c r="G20" s="6"/>
      <c r="H20" s="6"/>
      <c r="I20" s="6"/>
      <c r="J20" s="17">
        <f>Início!E16</f>
        <v>611</v>
      </c>
      <c r="K20" s="9"/>
      <c r="L20" s="9"/>
      <c r="M20" s="3"/>
    </row>
    <row r="21" spans="1:13" ht="30" customHeight="1" x14ac:dyDescent="0.2">
      <c r="A21" s="45" t="str">
        <f>IFERROR(HYPERLINK("#'Relatórios'!B10","RELATÓRIOS"),"RELATÓRIOS")</f>
        <v>RELATÓRIOS</v>
      </c>
      <c r="B21" s="23"/>
      <c r="C21" s="6"/>
      <c r="D21" s="6"/>
      <c r="E21" s="6"/>
      <c r="F21" s="24"/>
      <c r="G21" s="6"/>
      <c r="H21" s="6"/>
      <c r="I21" s="6"/>
      <c r="J21" s="9"/>
      <c r="K21" s="9"/>
      <c r="L21" s="9"/>
      <c r="M21" s="3"/>
    </row>
    <row r="22" spans="1:13" ht="10" customHeight="1" x14ac:dyDescent="0.2">
      <c r="A22" s="39"/>
      <c r="B22" s="23"/>
      <c r="C22" s="6"/>
      <c r="D22" s="6"/>
      <c r="E22" s="6"/>
      <c r="F22" s="24"/>
      <c r="G22" s="6"/>
      <c r="H22" s="6"/>
      <c r="I22" s="6"/>
      <c r="J22" s="9"/>
      <c r="K22" s="9"/>
      <c r="L22" s="9"/>
      <c r="M22" s="3"/>
    </row>
    <row r="23" spans="1:13" ht="28" customHeight="1" x14ac:dyDescent="0.2">
      <c r="A23" s="39"/>
      <c r="B23" s="23"/>
      <c r="C23" s="6"/>
      <c r="D23" s="6"/>
      <c r="E23" s="6"/>
      <c r="F23" s="24"/>
      <c r="G23" s="6"/>
      <c r="H23" s="6"/>
      <c r="I23" s="6"/>
      <c r="J23" s="4" t="s">
        <v>61</v>
      </c>
      <c r="K23" s="4"/>
      <c r="L23" s="4"/>
      <c r="M23" s="3"/>
    </row>
    <row r="24" spans="1:13" ht="30" customHeight="1" x14ac:dyDescent="0.2">
      <c r="A24" s="39"/>
      <c r="B24" s="23"/>
      <c r="C24" s="6"/>
      <c r="D24" s="6"/>
      <c r="E24" s="6"/>
      <c r="F24" s="24"/>
      <c r="G24" s="6"/>
      <c r="H24" s="6"/>
      <c r="I24" s="6"/>
      <c r="J24" s="17">
        <f>Início!H16</f>
        <v>0</v>
      </c>
      <c r="K24" s="9"/>
      <c r="L24" s="9"/>
      <c r="M24" s="3"/>
    </row>
    <row r="25" spans="1:13" ht="25" customHeight="1" x14ac:dyDescent="0.2">
      <c r="A25" s="39"/>
      <c r="B25" s="23"/>
      <c r="C25" s="6"/>
      <c r="D25" s="6"/>
      <c r="E25" s="6"/>
      <c r="F25" s="24"/>
      <c r="G25" s="6"/>
      <c r="H25" s="6"/>
      <c r="I25" s="6"/>
      <c r="J25" s="9"/>
      <c r="K25" s="9"/>
      <c r="L25" s="9"/>
      <c r="M25" s="3"/>
    </row>
    <row r="26" spans="1:13" ht="25" customHeight="1" x14ac:dyDescent="0.2">
      <c r="A26" s="39"/>
      <c r="B26" s="23"/>
      <c r="C26" s="6"/>
      <c r="D26" s="6"/>
      <c r="E26" s="6"/>
      <c r="F26" s="24"/>
      <c r="G26" s="6"/>
      <c r="H26" s="6"/>
      <c r="I26" s="6"/>
      <c r="J26" s="9"/>
      <c r="K26" s="9"/>
      <c r="L26" s="9"/>
      <c r="M26" s="3"/>
    </row>
    <row r="27" spans="1:13" ht="28" customHeight="1" x14ac:dyDescent="0.2">
      <c r="A27" s="39"/>
      <c r="B27" s="23"/>
      <c r="C27" s="6"/>
      <c r="D27" s="6"/>
      <c r="E27" s="6"/>
      <c r="F27" s="24"/>
      <c r="G27" s="6"/>
      <c r="H27" s="6"/>
      <c r="I27" s="6"/>
      <c r="J27" s="2"/>
      <c r="K27" s="2"/>
      <c r="L27" s="2"/>
      <c r="M27" s="3"/>
    </row>
    <row r="28" spans="1:13" ht="25" customHeight="1" x14ac:dyDescent="0.2">
      <c r="A28" s="39"/>
      <c r="B28" s="23"/>
      <c r="C28" s="6"/>
      <c r="D28" s="6"/>
      <c r="E28" s="6"/>
      <c r="F28" s="24"/>
      <c r="G28" s="6"/>
      <c r="H28" s="6"/>
      <c r="I28" s="6"/>
      <c r="J28" s="26"/>
      <c r="K28" s="26"/>
      <c r="L28" s="26"/>
      <c r="M28" s="3"/>
    </row>
    <row r="29" spans="1:13" ht="25" customHeight="1" x14ac:dyDescent="0.2">
      <c r="A29" s="43" t="s">
        <v>67</v>
      </c>
      <c r="B29" s="23"/>
      <c r="C29" s="6"/>
      <c r="D29" s="6"/>
      <c r="E29" s="6"/>
      <c r="F29" s="24"/>
      <c r="G29" s="6"/>
      <c r="H29" s="6"/>
      <c r="I29" s="6"/>
      <c r="J29" s="26"/>
      <c r="K29" s="26"/>
      <c r="L29" s="26"/>
      <c r="M29" s="3"/>
    </row>
    <row r="30" spans="1:13" ht="25" customHeight="1" x14ac:dyDescent="0.2">
      <c r="A30" s="44" t="s">
        <v>68</v>
      </c>
      <c r="B30" s="23"/>
      <c r="C30" s="6"/>
      <c r="D30" s="6"/>
      <c r="E30" s="6"/>
      <c r="F30" s="24"/>
      <c r="G30" s="6"/>
      <c r="H30" s="6"/>
      <c r="I30" s="6"/>
      <c r="J30" s="26"/>
      <c r="K30" s="26"/>
      <c r="L30" s="26"/>
      <c r="M30" s="3"/>
    </row>
    <row r="31" spans="1:13" ht="25" customHeight="1" x14ac:dyDescent="0.2">
      <c r="A31" s="39"/>
      <c r="B31" s="23"/>
      <c r="C31" s="6"/>
      <c r="D31" s="6"/>
      <c r="E31" s="6"/>
      <c r="F31" s="24"/>
      <c r="G31" s="6"/>
      <c r="H31" s="6"/>
      <c r="I31" s="6"/>
      <c r="J31" s="26"/>
      <c r="K31" s="26"/>
      <c r="L31" s="26"/>
      <c r="M31" s="3"/>
    </row>
    <row r="32" spans="1:13" ht="25" customHeight="1" x14ac:dyDescent="0.2">
      <c r="A32" s="39"/>
      <c r="B32" s="23"/>
      <c r="C32" s="6"/>
      <c r="D32" s="6"/>
      <c r="E32" s="6"/>
      <c r="F32" s="24"/>
      <c r="G32" s="6"/>
      <c r="H32" s="6"/>
      <c r="I32" s="6"/>
      <c r="J32" s="26"/>
      <c r="K32" s="26"/>
      <c r="L32" s="26"/>
      <c r="M32" s="3"/>
    </row>
    <row r="33" spans="1:13" ht="25" customHeight="1" x14ac:dyDescent="0.2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"/>
    </row>
    <row r="34" spans="1:13" ht="25" hidden="1" customHeight="1" x14ac:dyDescent="0.2">
      <c r="A34" s="39"/>
      <c r="M34" s="3"/>
    </row>
    <row r="35" spans="1:13" ht="25" hidden="1" customHeight="1" x14ac:dyDescent="0.2">
      <c r="A35" s="39"/>
      <c r="M35" s="3"/>
    </row>
    <row r="36" spans="1:13" ht="25" hidden="1" customHeight="1" x14ac:dyDescent="0.2">
      <c r="A36" s="39"/>
      <c r="M36" s="3"/>
    </row>
    <row r="37" spans="1:13" ht="25" hidden="1" customHeight="1" x14ac:dyDescent="0.2">
      <c r="A37" s="39"/>
      <c r="B37" s="23"/>
      <c r="C37" s="6"/>
      <c r="D37" s="6"/>
      <c r="E37" s="6"/>
      <c r="F37" s="24"/>
      <c r="G37" s="6"/>
      <c r="H37" s="6"/>
      <c r="I37" s="6"/>
      <c r="J37" s="2"/>
      <c r="K37" s="2"/>
      <c r="L37" s="2"/>
      <c r="M37" s="3"/>
    </row>
    <row r="38" spans="1:13" ht="25" hidden="1" customHeight="1" x14ac:dyDescent="0.2">
      <c r="A38" s="39"/>
      <c r="B38" s="23"/>
      <c r="C38" s="6"/>
      <c r="D38" s="6"/>
      <c r="E38" s="6"/>
      <c r="F38" s="24"/>
      <c r="G38" s="6"/>
      <c r="H38" s="6"/>
      <c r="I38" s="6"/>
      <c r="J38" s="2"/>
      <c r="K38" s="2"/>
      <c r="L38" s="2"/>
      <c r="M38" s="3"/>
    </row>
    <row r="39" spans="1:13" ht="25" hidden="1" customHeight="1" x14ac:dyDescent="0.2">
      <c r="A39" s="39"/>
      <c r="B39" s="23"/>
      <c r="C39" s="6"/>
      <c r="D39" s="6"/>
      <c r="E39" s="6"/>
      <c r="F39" s="24"/>
      <c r="G39" s="6"/>
      <c r="H39" s="6"/>
      <c r="I39" s="6"/>
      <c r="J39" s="2"/>
      <c r="K39" s="2"/>
      <c r="L39" s="2"/>
      <c r="M39" s="3"/>
    </row>
    <row r="40" spans="1:13" ht="25" hidden="1" customHeight="1" x14ac:dyDescent="0.2">
      <c r="A40" s="39"/>
      <c r="B40" s="23"/>
      <c r="C40" s="6"/>
      <c r="D40" s="6"/>
      <c r="E40" s="6"/>
      <c r="F40" s="24"/>
      <c r="G40" s="6"/>
      <c r="H40" s="6"/>
      <c r="I40" s="6"/>
      <c r="J40" s="2"/>
      <c r="K40" s="2"/>
      <c r="L40" s="2"/>
      <c r="M40" s="3"/>
    </row>
    <row r="41" spans="1:13" ht="25" hidden="1" customHeight="1" x14ac:dyDescent="0.2">
      <c r="A41" s="39"/>
      <c r="B41" s="23"/>
      <c r="C41" s="6"/>
      <c r="D41" s="6"/>
      <c r="E41" s="6"/>
      <c r="F41" s="24"/>
      <c r="G41" s="6"/>
      <c r="H41" s="6"/>
      <c r="I41" s="6"/>
      <c r="J41" s="2"/>
      <c r="K41" s="2"/>
      <c r="L41" s="2"/>
      <c r="M41" s="3"/>
    </row>
    <row r="42" spans="1:13" ht="25" hidden="1" customHeight="1" x14ac:dyDescent="0.2">
      <c r="A42" s="39"/>
      <c r="B42" s="23"/>
      <c r="C42" s="6"/>
      <c r="D42" s="6"/>
      <c r="E42" s="6"/>
      <c r="F42" s="24"/>
      <c r="G42" s="6"/>
      <c r="H42" s="6"/>
      <c r="I42" s="6"/>
      <c r="J42" s="2"/>
      <c r="K42" s="2"/>
      <c r="L42" s="2"/>
      <c r="M42" s="2"/>
    </row>
    <row r="43" spans="1:13" ht="25" hidden="1" customHeight="1" x14ac:dyDescent="0.2">
      <c r="A43" s="39"/>
      <c r="B43" s="23"/>
      <c r="C43" s="6"/>
      <c r="D43" s="6"/>
      <c r="E43" s="6"/>
      <c r="F43" s="24"/>
      <c r="G43" s="6"/>
      <c r="H43" s="6"/>
      <c r="I43" s="6"/>
      <c r="J43" s="2"/>
      <c r="K43" s="2"/>
      <c r="L43" s="2"/>
      <c r="M43" s="2"/>
    </row>
    <row r="44" spans="1:13" ht="25" hidden="1" customHeight="1" x14ac:dyDescent="0.2">
      <c r="A44" s="39"/>
      <c r="B44" s="23"/>
      <c r="C44" s="6"/>
      <c r="D44" s="6"/>
      <c r="E44" s="6"/>
      <c r="F44" s="24"/>
      <c r="G44" s="6"/>
      <c r="H44" s="6"/>
      <c r="I44" s="6"/>
      <c r="J44" s="2"/>
      <c r="K44" s="2"/>
      <c r="L44" s="2"/>
      <c r="M44" s="2"/>
    </row>
    <row r="45" spans="1:13" ht="25" hidden="1" customHeight="1" x14ac:dyDescent="0.2">
      <c r="A45" s="39"/>
      <c r="B45" s="23"/>
      <c r="C45" s="6"/>
      <c r="D45" s="6"/>
      <c r="E45" s="6"/>
      <c r="F45" s="24"/>
      <c r="G45" s="6"/>
      <c r="H45" s="6"/>
      <c r="I45" s="6"/>
      <c r="J45" s="2"/>
      <c r="K45" s="2"/>
      <c r="L45" s="2"/>
      <c r="M45" s="2"/>
    </row>
    <row r="46" spans="1:13" ht="25" hidden="1" customHeight="1" x14ac:dyDescent="0.2">
      <c r="A46" s="39"/>
      <c r="B46" s="23"/>
      <c r="C46" s="6"/>
      <c r="D46" s="6"/>
      <c r="E46" s="6"/>
      <c r="F46" s="24"/>
      <c r="G46" s="6"/>
      <c r="H46" s="6"/>
      <c r="I46" s="6"/>
      <c r="J46" s="2"/>
      <c r="K46" s="2"/>
      <c r="L46" s="2"/>
      <c r="M46" s="2"/>
    </row>
    <row r="47" spans="1:13" ht="25" hidden="1" customHeight="1" x14ac:dyDescent="0.2">
      <c r="A47" s="39"/>
      <c r="B47" s="23"/>
      <c r="C47" s="6"/>
      <c r="D47" s="6"/>
      <c r="E47" s="6"/>
      <c r="F47" s="24"/>
      <c r="G47" s="6"/>
      <c r="H47" s="6"/>
      <c r="I47" s="6"/>
      <c r="J47" s="2"/>
      <c r="K47" s="2"/>
      <c r="L47" s="2"/>
      <c r="M47" s="2"/>
    </row>
    <row r="48" spans="1:13" ht="25" hidden="1" customHeight="1" x14ac:dyDescent="0.2">
      <c r="A48" s="39"/>
      <c r="B48" s="23"/>
      <c r="C48" s="6"/>
      <c r="D48" s="6"/>
      <c r="E48" s="6"/>
      <c r="F48" s="24"/>
      <c r="G48" s="6"/>
      <c r="H48" s="6"/>
      <c r="I48" s="6"/>
      <c r="J48" s="2"/>
      <c r="K48" s="2"/>
      <c r="L48" s="2"/>
      <c r="M48" s="2"/>
    </row>
    <row r="49" spans="1:13" ht="25" hidden="1" customHeight="1" x14ac:dyDescent="0.2">
      <c r="A49" s="39"/>
      <c r="B49" s="23"/>
      <c r="C49" s="6"/>
      <c r="D49" s="6"/>
      <c r="E49" s="6"/>
      <c r="F49" s="24"/>
      <c r="G49" s="6"/>
      <c r="H49" s="6"/>
      <c r="I49" s="6"/>
      <c r="J49" s="2"/>
      <c r="K49" s="2"/>
      <c r="L49" s="2"/>
      <c r="M49" s="2"/>
    </row>
    <row r="50" spans="1:13" ht="25" hidden="1" customHeight="1" x14ac:dyDescent="0.2">
      <c r="A50" s="39"/>
      <c r="B50" s="23"/>
      <c r="C50" s="6"/>
      <c r="D50" s="6"/>
      <c r="E50" s="6"/>
      <c r="F50" s="24"/>
      <c r="G50" s="6"/>
      <c r="H50" s="6"/>
      <c r="I50" s="6"/>
      <c r="J50" s="2"/>
      <c r="K50" s="2"/>
      <c r="L50" s="2"/>
      <c r="M50" s="2"/>
    </row>
    <row r="51" spans="1:13" ht="25" hidden="1" customHeight="1" x14ac:dyDescent="0.2">
      <c r="A51" s="39"/>
      <c r="B51" s="23"/>
      <c r="C51" s="6"/>
      <c r="D51" s="6"/>
      <c r="E51" s="6"/>
      <c r="F51" s="24"/>
      <c r="G51" s="6"/>
      <c r="H51" s="6"/>
      <c r="I51" s="6"/>
      <c r="J51" s="2"/>
      <c r="K51" s="2"/>
      <c r="L51" s="2"/>
      <c r="M51" s="2"/>
    </row>
    <row r="52" spans="1:13" ht="25" hidden="1" customHeight="1" x14ac:dyDescent="0.2">
      <c r="A52" s="39"/>
      <c r="B52" s="23"/>
      <c r="C52" s="6"/>
      <c r="D52" s="6"/>
      <c r="E52" s="6"/>
      <c r="F52" s="24"/>
      <c r="G52" s="6"/>
      <c r="H52" s="6"/>
      <c r="I52" s="6"/>
      <c r="J52" s="2"/>
      <c r="K52" s="2"/>
      <c r="L52" s="2"/>
      <c r="M52" s="2"/>
    </row>
    <row r="53" spans="1:13" ht="25" hidden="1" customHeight="1" x14ac:dyDescent="0.2">
      <c r="A53" s="39"/>
      <c r="B53" s="23"/>
      <c r="C53" s="6"/>
      <c r="D53" s="6"/>
      <c r="E53" s="6"/>
      <c r="F53" s="24"/>
      <c r="G53" s="6"/>
      <c r="H53" s="6"/>
      <c r="I53" s="6"/>
      <c r="J53" s="2"/>
      <c r="K53" s="2"/>
      <c r="L53" s="2"/>
      <c r="M53" s="2"/>
    </row>
    <row r="54" spans="1:13" ht="25" hidden="1" customHeight="1" x14ac:dyDescent="0.2">
      <c r="A54" s="39"/>
      <c r="B54" s="23"/>
      <c r="C54" s="6"/>
      <c r="D54" s="6"/>
      <c r="E54" s="6"/>
      <c r="F54" s="24"/>
      <c r="G54" s="6"/>
      <c r="H54" s="6"/>
      <c r="I54" s="6"/>
      <c r="J54" s="2"/>
      <c r="K54" s="2"/>
      <c r="L54" s="2"/>
      <c r="M54" s="2"/>
    </row>
    <row r="55" spans="1:13" ht="25" hidden="1" customHeight="1" x14ac:dyDescent="0.2">
      <c r="A55" s="39"/>
      <c r="B55" s="23"/>
      <c r="C55" s="6"/>
      <c r="D55" s="6"/>
      <c r="E55" s="6"/>
      <c r="F55" s="24"/>
      <c r="G55" s="6"/>
      <c r="H55" s="6"/>
      <c r="I55" s="6"/>
      <c r="J55" s="2"/>
      <c r="K55" s="2"/>
      <c r="L55" s="2"/>
      <c r="M55" s="2"/>
    </row>
    <row r="56" spans="1:13" ht="25" hidden="1" customHeight="1" x14ac:dyDescent="0.2">
      <c r="A56" s="39"/>
      <c r="B56" s="23"/>
      <c r="C56" s="6"/>
      <c r="D56" s="6"/>
      <c r="E56" s="6"/>
      <c r="F56" s="24"/>
      <c r="G56" s="6"/>
      <c r="H56" s="6"/>
      <c r="I56" s="6"/>
      <c r="J56" s="2"/>
      <c r="K56" s="2"/>
      <c r="L56" s="2"/>
      <c r="M56" s="2"/>
    </row>
    <row r="57" spans="1:13" ht="25" hidden="1" customHeight="1" x14ac:dyDescent="0.2">
      <c r="A57" s="39"/>
      <c r="B57" s="23"/>
      <c r="C57" s="6"/>
      <c r="D57" s="6"/>
      <c r="E57" s="6"/>
      <c r="F57" s="24"/>
      <c r="G57" s="6"/>
      <c r="H57" s="6"/>
      <c r="I57" s="6"/>
      <c r="J57" s="2"/>
      <c r="K57" s="2"/>
      <c r="L57" s="2"/>
      <c r="M57" s="2"/>
    </row>
    <row r="58" spans="1:13" ht="25" hidden="1" customHeight="1" x14ac:dyDescent="0.2">
      <c r="A58" s="39"/>
      <c r="B58" s="23"/>
      <c r="C58" s="6"/>
      <c r="D58" s="6"/>
      <c r="E58" s="6"/>
      <c r="F58" s="24"/>
      <c r="G58" s="6"/>
      <c r="H58" s="6"/>
      <c r="I58" s="6"/>
      <c r="J58" s="2"/>
      <c r="K58" s="2"/>
      <c r="L58" s="2"/>
      <c r="M58" s="2"/>
    </row>
    <row r="59" spans="1:13" ht="25" hidden="1" customHeight="1" x14ac:dyDescent="0.2">
      <c r="A59" s="39"/>
      <c r="B59" s="23"/>
      <c r="C59" s="6"/>
      <c r="D59" s="6"/>
      <c r="E59" s="6"/>
      <c r="F59" s="24"/>
      <c r="G59" s="6"/>
      <c r="H59" s="6"/>
      <c r="I59" s="6"/>
      <c r="J59" s="2"/>
      <c r="K59" s="2"/>
      <c r="L59" s="2"/>
      <c r="M59" s="2"/>
    </row>
    <row r="60" spans="1:13" ht="25" hidden="1" customHeight="1" x14ac:dyDescent="0.2">
      <c r="A60" s="39"/>
      <c r="B60" s="23"/>
      <c r="C60" s="6"/>
      <c r="D60" s="6"/>
      <c r="E60" s="6"/>
      <c r="F60" s="24"/>
      <c r="G60" s="6"/>
      <c r="H60" s="6"/>
      <c r="I60" s="6"/>
      <c r="J60" s="2"/>
      <c r="K60" s="2"/>
      <c r="L60" s="2"/>
      <c r="M60" s="2"/>
    </row>
    <row r="61" spans="1:13" ht="25" hidden="1" customHeight="1" x14ac:dyDescent="0.2">
      <c r="A61" s="39"/>
      <c r="B61" s="23"/>
      <c r="C61" s="6"/>
      <c r="D61" s="6"/>
      <c r="E61" s="6"/>
      <c r="F61" s="24"/>
      <c r="G61" s="6"/>
      <c r="H61" s="6"/>
      <c r="I61" s="6"/>
      <c r="J61" s="2"/>
      <c r="K61" s="2"/>
      <c r="L61" s="2"/>
      <c r="M61" s="2"/>
    </row>
    <row r="62" spans="1:13" ht="25" hidden="1" customHeight="1" x14ac:dyDescent="0.2">
      <c r="A62" s="39"/>
      <c r="B62" s="23"/>
      <c r="C62" s="6"/>
      <c r="D62" s="6"/>
      <c r="E62" s="6"/>
      <c r="F62" s="24"/>
      <c r="G62" s="6"/>
      <c r="H62" s="6"/>
      <c r="I62" s="6"/>
      <c r="J62" s="2"/>
      <c r="K62" s="2"/>
      <c r="L62" s="2"/>
      <c r="M62" s="2"/>
    </row>
    <row r="63" spans="1:13" ht="25" hidden="1" customHeight="1" x14ac:dyDescent="0.2">
      <c r="A63" s="39"/>
      <c r="B63" s="23"/>
      <c r="C63" s="6"/>
      <c r="D63" s="6"/>
      <c r="E63" s="6"/>
      <c r="F63" s="24"/>
      <c r="G63" s="6"/>
      <c r="H63" s="6"/>
      <c r="I63" s="6"/>
      <c r="J63" s="2"/>
      <c r="K63" s="2"/>
      <c r="L63" s="2"/>
      <c r="M63" s="2"/>
    </row>
    <row r="64" spans="1:13" ht="25" hidden="1" customHeight="1" x14ac:dyDescent="0.2">
      <c r="A64" s="39"/>
      <c r="B64" s="23"/>
      <c r="C64" s="6"/>
      <c r="D64" s="6"/>
      <c r="E64" s="6"/>
      <c r="F64" s="24"/>
      <c r="G64" s="6"/>
      <c r="H64" s="6"/>
      <c r="I64" s="6"/>
      <c r="J64" s="2"/>
      <c r="K64" s="2"/>
      <c r="L64" s="2"/>
      <c r="M64" s="2"/>
    </row>
    <row r="65" spans="1:13" ht="25" hidden="1" customHeight="1" x14ac:dyDescent="0.2">
      <c r="A65" s="39"/>
      <c r="B65" s="23"/>
      <c r="C65" s="6"/>
      <c r="D65" s="6"/>
      <c r="E65" s="6"/>
      <c r="F65" s="24"/>
      <c r="G65" s="6"/>
      <c r="H65" s="6"/>
      <c r="I65" s="6"/>
      <c r="J65" s="2"/>
      <c r="K65" s="2"/>
      <c r="L65" s="2"/>
      <c r="M65" s="2"/>
    </row>
    <row r="66" spans="1:13" ht="25" hidden="1" customHeight="1" x14ac:dyDescent="0.2">
      <c r="A66" s="39"/>
      <c r="B66" s="23"/>
      <c r="C66" s="6"/>
      <c r="D66" s="6"/>
      <c r="E66" s="6"/>
      <c r="F66" s="24"/>
      <c r="G66" s="6"/>
      <c r="H66" s="6"/>
      <c r="I66" s="6"/>
      <c r="J66" s="2"/>
      <c r="K66" s="2"/>
      <c r="L66" s="2"/>
      <c r="M66" s="2"/>
    </row>
    <row r="67" spans="1:13" ht="25" hidden="1" customHeight="1" x14ac:dyDescent="0.2">
      <c r="A67" s="39"/>
      <c r="B67" s="23"/>
      <c r="C67" s="6"/>
      <c r="D67" s="6"/>
      <c r="E67" s="6"/>
      <c r="F67" s="24"/>
      <c r="G67" s="6"/>
      <c r="H67" s="6"/>
      <c r="I67" s="6"/>
      <c r="J67" s="2"/>
      <c r="K67" s="2"/>
      <c r="L67" s="2"/>
      <c r="M67" s="2"/>
    </row>
    <row r="68" spans="1:13" ht="25" hidden="1" customHeight="1" x14ac:dyDescent="0.2">
      <c r="A68" s="39"/>
      <c r="B68" s="23"/>
      <c r="C68" s="6"/>
      <c r="D68" s="6"/>
      <c r="E68" s="6"/>
      <c r="F68" s="24"/>
      <c r="G68" s="6"/>
      <c r="H68" s="6"/>
      <c r="I68" s="6"/>
      <c r="J68" s="2"/>
      <c r="K68" s="2"/>
      <c r="L68" s="2"/>
      <c r="M68" s="2"/>
    </row>
    <row r="69" spans="1:13" ht="25" hidden="1" customHeight="1" x14ac:dyDescent="0.2">
      <c r="A69" s="39"/>
      <c r="B69" s="23"/>
      <c r="C69" s="6"/>
      <c r="D69" s="6"/>
      <c r="E69" s="6"/>
      <c r="F69" s="24"/>
      <c r="G69" s="6"/>
      <c r="H69" s="6"/>
      <c r="I69" s="6"/>
      <c r="J69" s="2"/>
      <c r="K69" s="2"/>
      <c r="L69" s="2"/>
      <c r="M69" s="2"/>
    </row>
    <row r="70" spans="1:13" ht="25" hidden="1" customHeight="1" x14ac:dyDescent="0.2">
      <c r="A70" s="39"/>
      <c r="B70" s="23"/>
      <c r="C70" s="6"/>
      <c r="D70" s="6"/>
      <c r="E70" s="6"/>
      <c r="F70" s="24"/>
      <c r="G70" s="6"/>
      <c r="H70" s="6"/>
      <c r="I70" s="6"/>
      <c r="J70" s="2"/>
      <c r="K70" s="2"/>
      <c r="L70" s="2"/>
      <c r="M70" s="2"/>
    </row>
    <row r="71" spans="1:13" ht="25" hidden="1" customHeight="1" x14ac:dyDescent="0.2">
      <c r="A71" s="39"/>
      <c r="B71" s="23"/>
      <c r="C71" s="6"/>
      <c r="D71" s="6"/>
      <c r="E71" s="6"/>
      <c r="F71" s="24"/>
      <c r="G71" s="6"/>
      <c r="H71" s="6"/>
      <c r="I71" s="6"/>
      <c r="J71" s="2"/>
      <c r="K71" s="2"/>
      <c r="L71" s="2"/>
      <c r="M71" s="2"/>
    </row>
    <row r="72" spans="1:13" ht="25" hidden="1" customHeight="1" x14ac:dyDescent="0.2">
      <c r="A72" s="39"/>
      <c r="B72" s="23"/>
      <c r="C72" s="6"/>
      <c r="D72" s="6"/>
      <c r="E72" s="6"/>
      <c r="F72" s="24"/>
      <c r="G72" s="6"/>
      <c r="H72" s="6"/>
      <c r="I72" s="6"/>
      <c r="J72" s="2"/>
      <c r="K72" s="2"/>
      <c r="L72" s="2"/>
      <c r="M72" s="2"/>
    </row>
    <row r="73" spans="1:13" ht="25" hidden="1" customHeight="1" x14ac:dyDescent="0.2">
      <c r="A73" s="39"/>
      <c r="B73" s="23"/>
      <c r="C73" s="6"/>
      <c r="D73" s="6"/>
      <c r="E73" s="6"/>
      <c r="F73" s="24"/>
      <c r="G73" s="6"/>
      <c r="H73" s="6"/>
      <c r="I73" s="6"/>
      <c r="J73" s="2"/>
      <c r="K73" s="2"/>
      <c r="L73" s="2"/>
      <c r="M73" s="2"/>
    </row>
    <row r="74" spans="1:13" ht="25" hidden="1" customHeight="1" x14ac:dyDescent="0.2">
      <c r="A74" s="39"/>
      <c r="B74" s="23"/>
      <c r="C74" s="6"/>
      <c r="D74" s="6"/>
      <c r="E74" s="6"/>
      <c r="F74" s="24"/>
      <c r="G74" s="6"/>
      <c r="H74" s="6"/>
      <c r="I74" s="6"/>
      <c r="J74" s="2"/>
      <c r="K74" s="2"/>
      <c r="L74" s="2"/>
      <c r="M74" s="2"/>
    </row>
    <row r="75" spans="1:13" ht="25" hidden="1" customHeight="1" x14ac:dyDescent="0.2">
      <c r="A75" s="39"/>
      <c r="B75" s="23"/>
      <c r="C75" s="6"/>
      <c r="D75" s="6"/>
      <c r="E75" s="6"/>
      <c r="F75" s="24"/>
      <c r="G75" s="6"/>
      <c r="H75" s="6"/>
      <c r="I75" s="6"/>
      <c r="J75" s="2"/>
      <c r="K75" s="2"/>
      <c r="L75" s="2"/>
      <c r="M75" s="2"/>
    </row>
    <row r="76" spans="1:13" ht="25" hidden="1" customHeight="1" x14ac:dyDescent="0.2">
      <c r="A76" s="39"/>
      <c r="B76" s="23"/>
      <c r="C76" s="6"/>
      <c r="D76" s="6"/>
      <c r="E76" s="6"/>
      <c r="F76" s="24"/>
      <c r="G76" s="6"/>
      <c r="H76" s="6"/>
      <c r="I76" s="6"/>
    </row>
    <row r="77" spans="1:13" ht="25" hidden="1" customHeight="1" x14ac:dyDescent="0.2">
      <c r="A77" s="39"/>
      <c r="B77" s="23"/>
      <c r="C77" s="6"/>
      <c r="D77" s="6"/>
      <c r="E77" s="6"/>
      <c r="F77" s="24"/>
      <c r="G77" s="6"/>
      <c r="H77" s="6"/>
      <c r="I77" s="6"/>
    </row>
    <row r="78" spans="1:13" ht="25" hidden="1" customHeight="1" x14ac:dyDescent="0.2">
      <c r="A78" s="39"/>
      <c r="B78" s="23"/>
      <c r="C78" s="6"/>
      <c r="D78" s="6"/>
      <c r="E78" s="6"/>
      <c r="F78" s="24"/>
      <c r="G78" s="6"/>
      <c r="H78" s="6"/>
      <c r="I78" s="6"/>
    </row>
    <row r="79" spans="1:13" ht="25" hidden="1" customHeight="1" x14ac:dyDescent="0.2">
      <c r="A79" s="39"/>
      <c r="B79" s="23"/>
      <c r="C79" s="6"/>
      <c r="D79" s="6"/>
      <c r="E79" s="6"/>
      <c r="F79" s="24"/>
      <c r="G79" s="6"/>
      <c r="H79" s="6"/>
      <c r="I79" s="6"/>
    </row>
    <row r="80" spans="1:13" ht="25" hidden="1" customHeight="1" x14ac:dyDescent="0.2">
      <c r="A80" s="39"/>
      <c r="B80" s="23"/>
      <c r="C80" s="6"/>
      <c r="D80" s="6"/>
      <c r="E80" s="6"/>
      <c r="F80" s="24"/>
      <c r="G80" s="6"/>
      <c r="H80" s="6"/>
      <c r="I80" s="6"/>
    </row>
    <row r="81" spans="1:9" ht="25" hidden="1" customHeight="1" x14ac:dyDescent="0.2">
      <c r="A81" s="39"/>
      <c r="B81" s="23"/>
      <c r="C81" s="6"/>
      <c r="D81" s="6"/>
      <c r="E81" s="6"/>
      <c r="F81" s="24"/>
      <c r="G81" s="6"/>
      <c r="H81" s="6"/>
      <c r="I81" s="6"/>
    </row>
    <row r="82" spans="1:9" ht="25" hidden="1" customHeight="1" x14ac:dyDescent="0.2">
      <c r="A82" s="39"/>
      <c r="B82" s="23"/>
      <c r="C82" s="6"/>
      <c r="D82" s="6"/>
      <c r="E82" s="6"/>
      <c r="F82" s="24"/>
      <c r="G82" s="6"/>
      <c r="H82" s="6"/>
      <c r="I82" s="6"/>
    </row>
    <row r="83" spans="1:9" ht="25" hidden="1" customHeight="1" x14ac:dyDescent="0.2">
      <c r="A83" s="39"/>
      <c r="B83" s="23"/>
      <c r="C83" s="6"/>
      <c r="D83" s="6"/>
      <c r="E83" s="6"/>
      <c r="F83" s="24"/>
      <c r="G83" s="6"/>
      <c r="H83" s="6"/>
      <c r="I83" s="6"/>
    </row>
    <row r="84" spans="1:9" ht="25" hidden="1" customHeight="1" x14ac:dyDescent="0.2">
      <c r="A84" s="39"/>
      <c r="B84" s="23"/>
      <c r="C84" s="6"/>
      <c r="D84" s="6"/>
      <c r="E84" s="6"/>
      <c r="F84" s="24"/>
      <c r="G84" s="6"/>
      <c r="H84" s="6"/>
      <c r="I84" s="6"/>
    </row>
    <row r="85" spans="1:9" ht="25" hidden="1" customHeight="1" x14ac:dyDescent="0.2">
      <c r="A85" s="39"/>
      <c r="B85" s="23"/>
      <c r="C85" s="6"/>
      <c r="D85" s="6"/>
      <c r="E85" s="6"/>
      <c r="F85" s="24"/>
      <c r="G85" s="6"/>
      <c r="H85" s="6"/>
      <c r="I85" s="6"/>
    </row>
    <row r="86" spans="1:9" ht="25" hidden="1" customHeight="1" x14ac:dyDescent="0.2">
      <c r="A86" s="39"/>
      <c r="B86" s="23"/>
      <c r="C86" s="6"/>
      <c r="D86" s="6"/>
      <c r="E86" s="6"/>
      <c r="F86" s="24"/>
      <c r="G86" s="6"/>
      <c r="H86" s="6"/>
      <c r="I86" s="6"/>
    </row>
    <row r="87" spans="1:9" ht="25" hidden="1" customHeight="1" x14ac:dyDescent="0.2">
      <c r="A87" s="39"/>
      <c r="B87" s="23"/>
      <c r="C87" s="6"/>
      <c r="D87" s="6"/>
      <c r="E87" s="6"/>
      <c r="F87" s="24"/>
      <c r="G87" s="6"/>
      <c r="H87" s="6"/>
      <c r="I87" s="6"/>
    </row>
    <row r="88" spans="1:9" ht="25" hidden="1" customHeight="1" x14ac:dyDescent="0.2">
      <c r="A88" s="39"/>
      <c r="B88" s="23"/>
      <c r="C88" s="6"/>
      <c r="D88" s="6"/>
      <c r="E88" s="6"/>
      <c r="F88" s="24"/>
      <c r="G88" s="6"/>
      <c r="H88" s="6"/>
      <c r="I88" s="6"/>
    </row>
    <row r="89" spans="1:9" ht="25" hidden="1" customHeight="1" x14ac:dyDescent="0.2">
      <c r="A89" s="39"/>
      <c r="B89" s="23"/>
      <c r="C89" s="6"/>
      <c r="D89" s="6"/>
      <c r="E89" s="6"/>
      <c r="F89" s="24"/>
      <c r="G89" s="6"/>
      <c r="H89" s="6"/>
      <c r="I89" s="6"/>
    </row>
    <row r="90" spans="1:9" ht="25" hidden="1" customHeight="1" x14ac:dyDescent="0.2">
      <c r="A90" s="39"/>
      <c r="B90" s="23"/>
      <c r="C90" s="6"/>
      <c r="D90" s="6"/>
      <c r="E90" s="6"/>
      <c r="F90" s="24"/>
      <c r="G90" s="6"/>
      <c r="H90" s="6"/>
      <c r="I90" s="6"/>
    </row>
    <row r="91" spans="1:9" ht="25" hidden="1" customHeight="1" x14ac:dyDescent="0.2">
      <c r="A91" s="39"/>
      <c r="B91" s="23"/>
      <c r="C91" s="6"/>
      <c r="D91" s="6"/>
      <c r="E91" s="6"/>
      <c r="F91" s="24"/>
      <c r="G91" s="6"/>
      <c r="H91" s="6"/>
      <c r="I91" s="6"/>
    </row>
    <row r="92" spans="1:9" ht="25" hidden="1" customHeight="1" x14ac:dyDescent="0.2">
      <c r="A92" s="39"/>
      <c r="B92" s="23"/>
      <c r="C92" s="6"/>
      <c r="D92" s="6"/>
      <c r="E92" s="6"/>
      <c r="F92" s="24"/>
      <c r="G92" s="6"/>
      <c r="H92" s="6"/>
      <c r="I92" s="6"/>
    </row>
    <row r="93" spans="1:9" ht="25" hidden="1" customHeight="1" x14ac:dyDescent="0.2">
      <c r="A93" s="39"/>
      <c r="B93" s="23"/>
      <c r="C93" s="6"/>
      <c r="D93" s="6"/>
      <c r="E93" s="6"/>
      <c r="F93" s="24"/>
      <c r="G93" s="6"/>
      <c r="H93" s="6"/>
      <c r="I93" s="6"/>
    </row>
    <row r="94" spans="1:9" ht="25" hidden="1" customHeight="1" x14ac:dyDescent="0.2">
      <c r="A94" s="39"/>
      <c r="B94" s="23"/>
      <c r="C94" s="6"/>
      <c r="D94" s="6"/>
      <c r="E94" s="6"/>
      <c r="F94" s="24"/>
      <c r="G94" s="6"/>
      <c r="H94" s="6"/>
      <c r="I94" s="6"/>
    </row>
    <row r="95" spans="1:9" ht="25" hidden="1" customHeight="1" x14ac:dyDescent="0.2">
      <c r="A95" s="39"/>
      <c r="B95" s="23"/>
      <c r="C95" s="6"/>
      <c r="D95" s="6"/>
      <c r="E95" s="6"/>
      <c r="F95" s="24"/>
      <c r="G95" s="6"/>
      <c r="H95" s="6"/>
      <c r="I95" s="6"/>
    </row>
    <row r="96" spans="1:9" ht="25" hidden="1" customHeight="1" x14ac:dyDescent="0.2">
      <c r="A96" s="39"/>
      <c r="B96" s="23"/>
      <c r="C96" s="6"/>
      <c r="D96" s="6"/>
      <c r="E96" s="6"/>
      <c r="F96" s="24"/>
      <c r="G96" s="6"/>
      <c r="H96" s="6"/>
      <c r="I96" s="6"/>
    </row>
    <row r="97" spans="1:9" ht="25" hidden="1" customHeight="1" x14ac:dyDescent="0.2">
      <c r="A97" s="39"/>
      <c r="B97" s="23"/>
      <c r="C97" s="6"/>
      <c r="D97" s="6"/>
      <c r="E97" s="6"/>
      <c r="F97" s="24"/>
      <c r="G97" s="6"/>
      <c r="H97" s="6"/>
      <c r="I97" s="6"/>
    </row>
    <row r="98" spans="1:9" ht="25" hidden="1" customHeight="1" x14ac:dyDescent="0.2">
      <c r="A98" s="39"/>
      <c r="B98" s="23"/>
      <c r="C98" s="6"/>
      <c r="D98" s="6"/>
      <c r="E98" s="6"/>
      <c r="F98" s="24"/>
      <c r="G98" s="6"/>
      <c r="H98" s="6"/>
      <c r="I98" s="6"/>
    </row>
    <row r="99" spans="1:9" ht="25" hidden="1" customHeight="1" x14ac:dyDescent="0.2">
      <c r="A99" s="39"/>
      <c r="B99" s="23"/>
      <c r="C99" s="6"/>
      <c r="D99" s="6"/>
      <c r="E99" s="6"/>
      <c r="F99" s="24"/>
      <c r="G99" s="6"/>
      <c r="H99" s="6"/>
      <c r="I99" s="6"/>
    </row>
    <row r="100" spans="1:9" ht="25" hidden="1" customHeight="1" x14ac:dyDescent="0.2">
      <c r="A100" s="39"/>
      <c r="B100" s="23"/>
      <c r="C100" s="6"/>
      <c r="D100" s="6"/>
      <c r="E100" s="6"/>
      <c r="F100" s="24"/>
      <c r="G100" s="6"/>
      <c r="H100" s="6"/>
      <c r="I100" s="6"/>
    </row>
    <row r="101" spans="1:9" ht="25" hidden="1" customHeight="1" x14ac:dyDescent="0.2">
      <c r="A101" s="39"/>
      <c r="B101" s="23"/>
      <c r="C101" s="6"/>
      <c r="D101" s="6"/>
      <c r="E101" s="6"/>
      <c r="F101" s="24"/>
      <c r="G101" s="6"/>
      <c r="H101" s="6"/>
      <c r="I101" s="6"/>
    </row>
    <row r="102" spans="1:9" ht="25" hidden="1" customHeight="1" x14ac:dyDescent="0.2">
      <c r="A102" s="39"/>
      <c r="B102" s="23"/>
      <c r="C102" s="6"/>
      <c r="D102" s="6"/>
      <c r="E102" s="6"/>
      <c r="F102" s="24"/>
      <c r="G102" s="6"/>
      <c r="H102" s="6"/>
      <c r="I102" s="6"/>
    </row>
    <row r="103" spans="1:9" ht="25" hidden="1" customHeight="1" x14ac:dyDescent="0.2">
      <c r="A103" s="39"/>
      <c r="B103" s="23"/>
      <c r="C103" s="6"/>
      <c r="D103" s="6"/>
      <c r="E103" s="6"/>
      <c r="F103" s="24"/>
      <c r="G103" s="6"/>
      <c r="H103" s="6"/>
      <c r="I103" s="6"/>
    </row>
    <row r="104" spans="1:9" ht="25" hidden="1" customHeight="1" x14ac:dyDescent="0.2">
      <c r="A104" s="39"/>
      <c r="B104" s="23"/>
      <c r="C104" s="6"/>
      <c r="D104" s="6"/>
      <c r="E104" s="6"/>
      <c r="F104" s="24"/>
      <c r="G104" s="6"/>
      <c r="H104" s="6"/>
      <c r="I104" s="6"/>
    </row>
    <row r="105" spans="1:9" ht="25" hidden="1" customHeight="1" x14ac:dyDescent="0.2">
      <c r="A105" s="39"/>
      <c r="B105" s="23"/>
      <c r="C105" s="6"/>
      <c r="D105" s="6"/>
      <c r="E105" s="6"/>
      <c r="F105" s="24"/>
      <c r="G105" s="6"/>
      <c r="H105" s="6"/>
      <c r="I105" s="6"/>
    </row>
    <row r="106" spans="1:9" ht="25" hidden="1" customHeight="1" x14ac:dyDescent="0.2">
      <c r="A106" s="39"/>
      <c r="B106" s="23"/>
      <c r="C106" s="6"/>
      <c r="D106" s="6"/>
      <c r="E106" s="6"/>
      <c r="F106" s="24"/>
      <c r="G106" s="6"/>
      <c r="H106" s="6"/>
      <c r="I106" s="6"/>
    </row>
    <row r="107" spans="1:9" ht="25" hidden="1" customHeight="1" x14ac:dyDescent="0.2">
      <c r="A107" s="39"/>
      <c r="B107" s="23"/>
      <c r="C107" s="6"/>
      <c r="D107" s="6"/>
      <c r="E107" s="6"/>
      <c r="F107" s="24"/>
      <c r="G107" s="6"/>
      <c r="H107" s="6"/>
      <c r="I107" s="6"/>
    </row>
    <row r="108" spans="1:9" ht="25" hidden="1" customHeight="1" x14ac:dyDescent="0.2">
      <c r="A108" s="39"/>
      <c r="B108" s="23"/>
      <c r="C108" s="6"/>
      <c r="D108" s="6"/>
      <c r="E108" s="6"/>
      <c r="F108" s="24"/>
      <c r="G108" s="6"/>
      <c r="H108" s="6"/>
      <c r="I108" s="6"/>
    </row>
    <row r="109" spans="1:9" ht="25" hidden="1" customHeight="1" x14ac:dyDescent="0.2">
      <c r="A109" s="39"/>
      <c r="B109" s="23"/>
      <c r="C109" s="6"/>
      <c r="D109" s="6"/>
      <c r="E109" s="6"/>
      <c r="F109" s="24"/>
      <c r="G109" s="6"/>
      <c r="H109" s="6"/>
      <c r="I109" s="6"/>
    </row>
    <row r="110" spans="1:9" ht="25" hidden="1" customHeight="1" x14ac:dyDescent="0.2">
      <c r="A110" s="39"/>
      <c r="B110" s="23"/>
      <c r="C110" s="6"/>
      <c r="D110" s="6"/>
      <c r="E110" s="6"/>
      <c r="F110" s="24"/>
      <c r="G110" s="6"/>
      <c r="H110" s="6"/>
      <c r="I110" s="6"/>
    </row>
    <row r="111" spans="1:9" ht="25" hidden="1" customHeight="1" x14ac:dyDescent="0.2">
      <c r="A111" s="39"/>
      <c r="B111" s="23"/>
      <c r="C111" s="6"/>
      <c r="D111" s="6"/>
      <c r="E111" s="6"/>
      <c r="F111" s="24"/>
      <c r="G111" s="6"/>
      <c r="H111" s="6"/>
      <c r="I111" s="6"/>
    </row>
    <row r="112" spans="1:9" ht="25" hidden="1" customHeight="1" x14ac:dyDescent="0.2">
      <c r="A112" s="39"/>
      <c r="B112" s="23"/>
      <c r="C112" s="6"/>
      <c r="D112" s="6"/>
      <c r="E112" s="6"/>
      <c r="F112" s="24"/>
      <c r="G112" s="6"/>
      <c r="H112" s="6"/>
      <c r="I112" s="6"/>
    </row>
    <row r="113" spans="1:9" ht="25" hidden="1" customHeight="1" x14ac:dyDescent="0.2">
      <c r="A113" s="39"/>
      <c r="B113" s="23"/>
      <c r="C113" s="6"/>
      <c r="D113" s="6"/>
      <c r="E113" s="6"/>
      <c r="F113" s="24"/>
      <c r="G113" s="6"/>
      <c r="H113" s="6"/>
      <c r="I113" s="6"/>
    </row>
    <row r="114" spans="1:9" ht="25" hidden="1" customHeight="1" x14ac:dyDescent="0.2">
      <c r="A114" s="39"/>
      <c r="B114" s="23"/>
      <c r="C114" s="6"/>
      <c r="D114" s="6"/>
      <c r="E114" s="6"/>
      <c r="F114" s="24"/>
      <c r="G114" s="6"/>
      <c r="H114" s="6"/>
      <c r="I114" s="6"/>
    </row>
    <row r="115" spans="1:9" ht="25" hidden="1" customHeight="1" x14ac:dyDescent="0.2">
      <c r="A115" s="39"/>
      <c r="B115" s="23"/>
      <c r="C115" s="6"/>
      <c r="D115" s="6"/>
      <c r="E115" s="6"/>
      <c r="F115" s="24"/>
      <c r="G115" s="6"/>
      <c r="H115" s="6"/>
      <c r="I115" s="6"/>
    </row>
    <row r="116" spans="1:9" ht="25" hidden="1" customHeight="1" x14ac:dyDescent="0.2">
      <c r="A116" s="39"/>
      <c r="B116" s="23"/>
      <c r="C116" s="6"/>
      <c r="D116" s="6"/>
      <c r="E116" s="6"/>
      <c r="F116" s="24"/>
      <c r="G116" s="6"/>
      <c r="H116" s="6"/>
      <c r="I116" s="6"/>
    </row>
    <row r="117" spans="1:9" ht="25" hidden="1" customHeight="1" x14ac:dyDescent="0.2">
      <c r="A117" s="39"/>
      <c r="B117" s="23"/>
      <c r="C117" s="6"/>
      <c r="D117" s="6"/>
      <c r="E117" s="6"/>
      <c r="F117" s="24"/>
      <c r="G117" s="6"/>
      <c r="H117" s="6"/>
      <c r="I117" s="6"/>
    </row>
    <row r="118" spans="1:9" ht="25" hidden="1" customHeight="1" x14ac:dyDescent="0.2">
      <c r="A118" s="39"/>
      <c r="B118" s="23"/>
      <c r="C118" s="6"/>
      <c r="D118" s="6"/>
      <c r="E118" s="6"/>
      <c r="F118" s="24"/>
      <c r="G118" s="6"/>
      <c r="H118" s="6"/>
      <c r="I118" s="6"/>
    </row>
    <row r="119" spans="1:9" ht="25" hidden="1" customHeight="1" x14ac:dyDescent="0.2">
      <c r="A119" s="39"/>
      <c r="B119" s="23"/>
      <c r="C119" s="6"/>
      <c r="D119" s="6"/>
      <c r="E119" s="6"/>
      <c r="F119" s="24"/>
      <c r="G119" s="6"/>
      <c r="H119" s="6"/>
      <c r="I119" s="6"/>
    </row>
    <row r="120" spans="1:9" ht="25" hidden="1" customHeight="1" x14ac:dyDescent="0.2">
      <c r="A120" s="39"/>
      <c r="B120" s="23"/>
      <c r="C120" s="6"/>
      <c r="D120" s="6"/>
      <c r="E120" s="6"/>
      <c r="F120" s="24"/>
      <c r="G120" s="6"/>
      <c r="H120" s="6"/>
      <c r="I120" s="6"/>
    </row>
    <row r="121" spans="1:9" ht="25" hidden="1" customHeight="1" x14ac:dyDescent="0.2">
      <c r="A121" s="39"/>
      <c r="B121" s="23"/>
      <c r="C121" s="6"/>
      <c r="D121" s="6"/>
      <c r="E121" s="6"/>
      <c r="F121" s="24"/>
      <c r="G121" s="6"/>
      <c r="H121" s="6"/>
      <c r="I121" s="6"/>
    </row>
    <row r="122" spans="1:9" ht="25" hidden="1" customHeight="1" x14ac:dyDescent="0.2">
      <c r="A122" s="39"/>
      <c r="B122" s="23"/>
      <c r="C122" s="6"/>
      <c r="D122" s="6"/>
      <c r="E122" s="6"/>
      <c r="F122" s="24"/>
      <c r="G122" s="6"/>
      <c r="H122" s="6"/>
      <c r="I122" s="6"/>
    </row>
    <row r="123" spans="1:9" ht="25" hidden="1" customHeight="1" x14ac:dyDescent="0.2">
      <c r="A123" s="39"/>
      <c r="B123" s="23"/>
      <c r="C123" s="6"/>
      <c r="D123" s="6"/>
      <c r="E123" s="6"/>
      <c r="F123" s="24"/>
      <c r="G123" s="6"/>
      <c r="H123" s="6"/>
      <c r="I123" s="6"/>
    </row>
    <row r="124" spans="1:9" ht="25" hidden="1" customHeight="1" x14ac:dyDescent="0.2">
      <c r="A124" s="39"/>
      <c r="B124" s="23"/>
      <c r="C124" s="6"/>
      <c r="D124" s="6"/>
      <c r="E124" s="6"/>
      <c r="F124" s="24"/>
      <c r="G124" s="6"/>
      <c r="H124" s="6"/>
      <c r="I124" s="6"/>
    </row>
    <row r="125" spans="1:9" ht="25" hidden="1" customHeight="1" x14ac:dyDescent="0.2">
      <c r="A125" s="39"/>
      <c r="B125" s="23"/>
      <c r="C125" s="6"/>
      <c r="D125" s="6"/>
      <c r="E125" s="6"/>
      <c r="F125" s="24"/>
      <c r="G125" s="6"/>
      <c r="H125" s="6"/>
      <c r="I125" s="6"/>
    </row>
    <row r="126" spans="1:9" ht="25" hidden="1" customHeight="1" x14ac:dyDescent="0.2">
      <c r="A126" s="39"/>
      <c r="B126" s="23"/>
      <c r="C126" s="6"/>
      <c r="D126" s="6"/>
      <c r="E126" s="6"/>
      <c r="F126" s="24"/>
      <c r="G126" s="6"/>
      <c r="H126" s="6"/>
      <c r="I126" s="6"/>
    </row>
    <row r="127" spans="1:9" ht="25" hidden="1" customHeight="1" x14ac:dyDescent="0.2">
      <c r="A127" s="39"/>
      <c r="B127" s="23"/>
      <c r="C127" s="6"/>
      <c r="D127" s="6"/>
      <c r="E127" s="6"/>
      <c r="F127" s="24"/>
      <c r="G127" s="6"/>
      <c r="H127" s="6"/>
      <c r="I127" s="6"/>
    </row>
    <row r="128" spans="1:9" ht="25" hidden="1" customHeight="1" x14ac:dyDescent="0.2">
      <c r="A128" s="39"/>
      <c r="B128" s="23"/>
      <c r="C128" s="6"/>
      <c r="D128" s="6"/>
      <c r="E128" s="6"/>
      <c r="F128" s="24"/>
      <c r="G128" s="6"/>
      <c r="H128" s="6"/>
      <c r="I128" s="6"/>
    </row>
    <row r="129" spans="1:9" ht="25" hidden="1" customHeight="1" x14ac:dyDescent="0.2">
      <c r="A129" s="39"/>
      <c r="B129" s="23"/>
      <c r="C129" s="6"/>
      <c r="D129" s="6"/>
      <c r="E129" s="6"/>
      <c r="F129" s="24"/>
      <c r="G129" s="6"/>
      <c r="H129" s="6"/>
      <c r="I129" s="6"/>
    </row>
    <row r="130" spans="1:9" ht="25" hidden="1" customHeight="1" x14ac:dyDescent="0.2">
      <c r="A130" s="39"/>
      <c r="B130" s="23"/>
      <c r="C130" s="6"/>
      <c r="D130" s="6"/>
      <c r="E130" s="6"/>
      <c r="F130" s="24"/>
      <c r="G130" s="6"/>
      <c r="H130" s="6"/>
      <c r="I130" s="6"/>
    </row>
    <row r="131" spans="1:9" ht="25" hidden="1" customHeight="1" x14ac:dyDescent="0.2">
      <c r="A131" s="39"/>
      <c r="B131" s="23"/>
      <c r="C131" s="6"/>
      <c r="D131" s="6"/>
      <c r="E131" s="6"/>
      <c r="F131" s="24"/>
      <c r="G131" s="6"/>
      <c r="H131" s="6"/>
      <c r="I131" s="6"/>
    </row>
    <row r="132" spans="1:9" ht="25" hidden="1" customHeight="1" x14ac:dyDescent="0.2">
      <c r="A132" s="39"/>
      <c r="B132" s="23"/>
      <c r="C132" s="6"/>
      <c r="D132" s="6"/>
      <c r="E132" s="6"/>
      <c r="F132" s="24"/>
      <c r="G132" s="6"/>
      <c r="H132" s="6"/>
      <c r="I132" s="6"/>
    </row>
    <row r="133" spans="1:9" ht="25" hidden="1" customHeight="1" x14ac:dyDescent="0.2">
      <c r="A133" s="39"/>
      <c r="B133" s="23"/>
      <c r="C133" s="6"/>
      <c r="D133" s="6"/>
      <c r="E133" s="6"/>
      <c r="F133" s="24"/>
      <c r="G133" s="6"/>
      <c r="H133" s="6"/>
      <c r="I133" s="6"/>
    </row>
    <row r="134" spans="1:9" ht="25" hidden="1" customHeight="1" x14ac:dyDescent="0.2">
      <c r="A134" s="39"/>
      <c r="B134" s="23"/>
      <c r="C134" s="6"/>
      <c r="D134" s="6"/>
      <c r="E134" s="6"/>
      <c r="F134" s="24"/>
      <c r="G134" s="6"/>
      <c r="H134" s="6"/>
      <c r="I134" s="6"/>
    </row>
    <row r="135" spans="1:9" ht="25" hidden="1" customHeight="1" x14ac:dyDescent="0.2">
      <c r="A135" s="39"/>
      <c r="B135" s="23"/>
      <c r="C135" s="6"/>
      <c r="D135" s="6"/>
      <c r="E135" s="6"/>
      <c r="F135" s="24"/>
      <c r="G135" s="6"/>
      <c r="H135" s="6"/>
      <c r="I135" s="6"/>
    </row>
    <row r="136" spans="1:9" ht="25" hidden="1" customHeight="1" x14ac:dyDescent="0.2">
      <c r="A136" s="39"/>
      <c r="B136" s="23"/>
      <c r="C136" s="6"/>
      <c r="D136" s="6"/>
      <c r="E136" s="6"/>
      <c r="F136" s="24"/>
      <c r="G136" s="6"/>
      <c r="H136" s="6"/>
      <c r="I136" s="6"/>
    </row>
    <row r="137" spans="1:9" ht="25" hidden="1" customHeight="1" x14ac:dyDescent="0.2">
      <c r="A137" s="39"/>
      <c r="B137" s="23"/>
      <c r="C137" s="6"/>
      <c r="D137" s="6"/>
      <c r="E137" s="6"/>
      <c r="F137" s="24"/>
      <c r="G137" s="6"/>
      <c r="H137" s="6"/>
      <c r="I137" s="6"/>
    </row>
    <row r="138" spans="1:9" ht="25" hidden="1" customHeight="1" x14ac:dyDescent="0.2">
      <c r="A138" s="39"/>
      <c r="B138" s="23"/>
      <c r="C138" s="6"/>
      <c r="D138" s="6"/>
      <c r="E138" s="6"/>
      <c r="F138" s="24"/>
      <c r="G138" s="6"/>
      <c r="H138" s="6"/>
      <c r="I138" s="6"/>
    </row>
    <row r="139" spans="1:9" ht="25" hidden="1" customHeight="1" x14ac:dyDescent="0.2">
      <c r="A139" s="39"/>
      <c r="B139" s="23"/>
      <c r="C139" s="6"/>
      <c r="D139" s="6"/>
      <c r="E139" s="6"/>
      <c r="F139" s="24"/>
      <c r="G139" s="6"/>
      <c r="H139" s="6"/>
      <c r="I139" s="6"/>
    </row>
    <row r="140" spans="1:9" ht="25" hidden="1" customHeight="1" x14ac:dyDescent="0.2">
      <c r="A140" s="39"/>
      <c r="B140" s="23"/>
      <c r="C140" s="6"/>
      <c r="D140" s="6"/>
      <c r="E140" s="6"/>
      <c r="F140" s="24"/>
      <c r="G140" s="6"/>
      <c r="H140" s="6"/>
      <c r="I140" s="6"/>
    </row>
    <row r="141" spans="1:9" ht="25" hidden="1" customHeight="1" x14ac:dyDescent="0.2">
      <c r="A141" s="39"/>
      <c r="B141" s="23"/>
      <c r="C141" s="6"/>
      <c r="D141" s="6"/>
      <c r="E141" s="6"/>
      <c r="F141" s="24"/>
      <c r="G141" s="6"/>
      <c r="H141" s="6"/>
      <c r="I141" s="6"/>
    </row>
    <row r="142" spans="1:9" ht="25" hidden="1" customHeight="1" x14ac:dyDescent="0.2">
      <c r="A142" s="39"/>
      <c r="B142" s="23"/>
      <c r="C142" s="6"/>
      <c r="D142" s="6"/>
      <c r="E142" s="6"/>
      <c r="F142" s="24"/>
      <c r="G142" s="6"/>
      <c r="H142" s="6"/>
      <c r="I142" s="6"/>
    </row>
    <row r="143" spans="1:9" ht="25" hidden="1" customHeight="1" x14ac:dyDescent="0.2">
      <c r="A143" s="39"/>
      <c r="B143" s="23"/>
      <c r="C143" s="6"/>
      <c r="D143" s="6"/>
      <c r="E143" s="6"/>
      <c r="F143" s="24"/>
      <c r="G143" s="6"/>
      <c r="H143" s="6"/>
      <c r="I143" s="6"/>
    </row>
    <row r="144" spans="1:9" ht="25" hidden="1" customHeight="1" x14ac:dyDescent="0.2">
      <c r="A144" s="39"/>
      <c r="B144" s="23"/>
      <c r="C144" s="6"/>
      <c r="D144" s="6"/>
      <c r="E144" s="6"/>
      <c r="F144" s="24"/>
      <c r="G144" s="6"/>
      <c r="H144" s="6"/>
      <c r="I144" s="6"/>
    </row>
    <row r="145" spans="1:9" ht="25" hidden="1" customHeight="1" x14ac:dyDescent="0.2">
      <c r="A145" s="39"/>
      <c r="B145" s="23"/>
      <c r="C145" s="6"/>
      <c r="D145" s="6"/>
      <c r="E145" s="6"/>
      <c r="F145" s="24"/>
      <c r="G145" s="6"/>
      <c r="H145" s="6"/>
      <c r="I145" s="6"/>
    </row>
    <row r="146" spans="1:9" ht="25" hidden="1" customHeight="1" x14ac:dyDescent="0.2">
      <c r="A146" s="39"/>
      <c r="B146" s="23"/>
      <c r="C146" s="6"/>
      <c r="D146" s="6"/>
      <c r="E146" s="6"/>
      <c r="F146" s="24"/>
      <c r="G146" s="6"/>
      <c r="H146" s="6"/>
      <c r="I146" s="6"/>
    </row>
    <row r="147" spans="1:9" ht="25" hidden="1" customHeight="1" x14ac:dyDescent="0.2">
      <c r="A147" s="39"/>
      <c r="B147" s="23"/>
      <c r="C147" s="6"/>
      <c r="D147" s="6"/>
      <c r="E147" s="6"/>
      <c r="F147" s="24"/>
      <c r="G147" s="6"/>
      <c r="H147" s="6"/>
      <c r="I147" s="6"/>
    </row>
    <row r="148" spans="1:9" ht="25" hidden="1" customHeight="1" x14ac:dyDescent="0.2">
      <c r="A148" s="39"/>
      <c r="B148" s="23"/>
      <c r="C148" s="6"/>
      <c r="D148" s="6"/>
      <c r="E148" s="6"/>
      <c r="F148" s="24"/>
      <c r="G148" s="6"/>
      <c r="H148" s="6"/>
      <c r="I148" s="6"/>
    </row>
    <row r="149" spans="1:9" ht="25" hidden="1" customHeight="1" x14ac:dyDescent="0.2">
      <c r="A149" s="39"/>
      <c r="B149" s="23"/>
      <c r="C149" s="6"/>
      <c r="D149" s="6"/>
      <c r="E149" s="6"/>
      <c r="F149" s="24"/>
      <c r="G149" s="6"/>
      <c r="H149" s="6"/>
      <c r="I149" s="6"/>
    </row>
    <row r="150" spans="1:9" ht="25" hidden="1" customHeight="1" x14ac:dyDescent="0.2">
      <c r="A150" s="39"/>
      <c r="B150" s="23"/>
      <c r="C150" s="6"/>
      <c r="D150" s="6"/>
      <c r="E150" s="6"/>
      <c r="F150" s="24"/>
      <c r="G150" s="6"/>
      <c r="H150" s="6"/>
      <c r="I150" s="6"/>
    </row>
    <row r="151" spans="1:9" ht="25" hidden="1" customHeight="1" x14ac:dyDescent="0.2">
      <c r="A151" s="39"/>
      <c r="B151" s="23"/>
      <c r="C151" s="6"/>
      <c r="D151" s="6"/>
      <c r="E151" s="6"/>
      <c r="F151" s="24"/>
      <c r="G151" s="6"/>
      <c r="H151" s="6"/>
      <c r="I151" s="6"/>
    </row>
    <row r="152" spans="1:9" ht="25" hidden="1" customHeight="1" x14ac:dyDescent="0.2">
      <c r="A152" s="39"/>
      <c r="B152" s="23"/>
      <c r="C152" s="6"/>
      <c r="D152" s="6"/>
      <c r="E152" s="6"/>
      <c r="F152" s="24"/>
      <c r="G152" s="6"/>
      <c r="H152" s="6"/>
      <c r="I152" s="6"/>
    </row>
    <row r="153" spans="1:9" ht="25" hidden="1" customHeight="1" x14ac:dyDescent="0.2">
      <c r="A153" s="39"/>
      <c r="B153" s="23"/>
      <c r="C153" s="6"/>
      <c r="D153" s="6"/>
      <c r="E153" s="6"/>
      <c r="F153" s="24"/>
      <c r="G153" s="6"/>
      <c r="H153" s="6"/>
      <c r="I153" s="6"/>
    </row>
    <row r="154" spans="1:9" ht="25" hidden="1" customHeight="1" x14ac:dyDescent="0.2">
      <c r="A154" s="39"/>
      <c r="B154" s="23"/>
      <c r="C154" s="6"/>
      <c r="D154" s="6"/>
      <c r="E154" s="6"/>
      <c r="F154" s="24"/>
      <c r="G154" s="6"/>
      <c r="H154" s="6"/>
      <c r="I154" s="6"/>
    </row>
    <row r="155" spans="1:9" ht="25" hidden="1" customHeight="1" x14ac:dyDescent="0.2">
      <c r="A155" s="39"/>
      <c r="B155" s="23"/>
      <c r="C155" s="6"/>
      <c r="D155" s="6"/>
      <c r="E155" s="6"/>
      <c r="F155" s="24"/>
      <c r="G155" s="6"/>
      <c r="H155" s="6"/>
      <c r="I155" s="6"/>
    </row>
    <row r="156" spans="1:9" ht="25" hidden="1" customHeight="1" x14ac:dyDescent="0.2">
      <c r="A156" s="39"/>
      <c r="B156" s="23"/>
      <c r="C156" s="6"/>
      <c r="D156" s="6"/>
      <c r="E156" s="6"/>
      <c r="F156" s="24"/>
      <c r="G156" s="6"/>
      <c r="H156" s="6"/>
      <c r="I156" s="6"/>
    </row>
    <row r="157" spans="1:9" ht="25" hidden="1" customHeight="1" x14ac:dyDescent="0.2">
      <c r="A157" s="39"/>
      <c r="B157" s="23"/>
      <c r="C157" s="6"/>
      <c r="D157" s="6"/>
      <c r="E157" s="6"/>
      <c r="F157" s="24"/>
      <c r="G157" s="6"/>
      <c r="H157" s="6"/>
      <c r="I157" s="6"/>
    </row>
    <row r="158" spans="1:9" ht="25" hidden="1" customHeight="1" x14ac:dyDescent="0.2">
      <c r="A158" s="39"/>
      <c r="B158" s="23"/>
      <c r="C158" s="6"/>
      <c r="D158" s="6"/>
      <c r="E158" s="6"/>
      <c r="F158" s="24"/>
      <c r="G158" s="6"/>
      <c r="H158" s="6"/>
      <c r="I158" s="6"/>
    </row>
    <row r="159" spans="1:9" ht="25" hidden="1" customHeight="1" x14ac:dyDescent="0.2">
      <c r="A159" s="39"/>
      <c r="B159" s="23"/>
      <c r="C159" s="6"/>
      <c r="D159" s="6"/>
      <c r="E159" s="6"/>
      <c r="F159" s="24"/>
      <c r="G159" s="6"/>
      <c r="H159" s="6"/>
      <c r="I159" s="6"/>
    </row>
    <row r="160" spans="1:9" ht="25" hidden="1" customHeight="1" x14ac:dyDescent="0.2">
      <c r="A160" s="39"/>
      <c r="B160" s="23"/>
      <c r="C160" s="6"/>
      <c r="D160" s="6"/>
      <c r="E160" s="6"/>
      <c r="F160" s="24"/>
      <c r="G160" s="6"/>
      <c r="H160" s="6"/>
      <c r="I160" s="6"/>
    </row>
    <row r="161" spans="1:9" ht="25" hidden="1" customHeight="1" x14ac:dyDescent="0.2">
      <c r="A161" s="39"/>
      <c r="B161" s="23"/>
      <c r="C161" s="6"/>
      <c r="D161" s="6"/>
      <c r="E161" s="6"/>
      <c r="F161" s="24"/>
      <c r="G161" s="6"/>
      <c r="H161" s="6"/>
      <c r="I161" s="6"/>
    </row>
    <row r="162" spans="1:9" ht="25" hidden="1" customHeight="1" x14ac:dyDescent="0.2">
      <c r="A162" s="39"/>
      <c r="B162" s="23"/>
      <c r="C162" s="6"/>
      <c r="D162" s="6"/>
      <c r="E162" s="6"/>
      <c r="F162" s="24"/>
      <c r="G162" s="6"/>
      <c r="H162" s="6"/>
      <c r="I162" s="6"/>
    </row>
    <row r="163" spans="1:9" ht="25" hidden="1" customHeight="1" x14ac:dyDescent="0.2">
      <c r="A163" s="39"/>
      <c r="B163" s="23"/>
      <c r="C163" s="6"/>
      <c r="D163" s="6"/>
      <c r="E163" s="6"/>
      <c r="F163" s="24"/>
      <c r="G163" s="6"/>
      <c r="H163" s="6"/>
      <c r="I163" s="6"/>
    </row>
    <row r="164" spans="1:9" ht="25" hidden="1" customHeight="1" x14ac:dyDescent="0.2">
      <c r="A164" s="39"/>
      <c r="B164" s="23"/>
      <c r="C164" s="6"/>
      <c r="D164" s="6"/>
      <c r="E164" s="6"/>
      <c r="F164" s="24"/>
      <c r="G164" s="6"/>
      <c r="H164" s="6"/>
      <c r="I164" s="6"/>
    </row>
    <row r="165" spans="1:9" ht="25" hidden="1" customHeight="1" x14ac:dyDescent="0.2">
      <c r="A165" s="39"/>
      <c r="B165" s="23"/>
      <c r="C165" s="6"/>
      <c r="D165" s="6"/>
      <c r="E165" s="6"/>
      <c r="F165" s="24"/>
      <c r="G165" s="6"/>
      <c r="H165" s="6"/>
      <c r="I165" s="6"/>
    </row>
    <row r="166" spans="1:9" ht="25" hidden="1" customHeight="1" x14ac:dyDescent="0.2">
      <c r="A166" s="39"/>
      <c r="B166" s="23"/>
      <c r="C166" s="6"/>
      <c r="D166" s="6"/>
      <c r="E166" s="6"/>
      <c r="F166" s="24"/>
      <c r="G166" s="6"/>
      <c r="H166" s="6"/>
      <c r="I166" s="6"/>
    </row>
    <row r="167" spans="1:9" ht="25" hidden="1" customHeight="1" x14ac:dyDescent="0.2">
      <c r="A167" s="39"/>
      <c r="B167" s="23"/>
      <c r="C167" s="6"/>
      <c r="D167" s="6"/>
      <c r="E167" s="6"/>
      <c r="F167" s="24"/>
      <c r="G167" s="6"/>
      <c r="H167" s="6"/>
      <c r="I167" s="6"/>
    </row>
    <row r="168" spans="1:9" ht="25" hidden="1" customHeight="1" x14ac:dyDescent="0.2">
      <c r="A168" s="39"/>
      <c r="B168" s="23"/>
      <c r="C168" s="6"/>
      <c r="D168" s="6"/>
      <c r="E168" s="6"/>
      <c r="F168" s="24"/>
      <c r="G168" s="6"/>
      <c r="H168" s="6"/>
      <c r="I168" s="6"/>
    </row>
    <row r="169" spans="1:9" ht="25" hidden="1" customHeight="1" x14ac:dyDescent="0.2">
      <c r="A169" s="39"/>
      <c r="B169" s="23"/>
      <c r="C169" s="6"/>
      <c r="D169" s="6"/>
      <c r="E169" s="6"/>
      <c r="F169" s="24"/>
      <c r="G169" s="6"/>
      <c r="H169" s="6"/>
      <c r="I169" s="6"/>
    </row>
    <row r="170" spans="1:9" ht="25" hidden="1" customHeight="1" x14ac:dyDescent="0.2">
      <c r="A170" s="39"/>
      <c r="B170" s="23"/>
      <c r="C170" s="6"/>
      <c r="D170" s="6"/>
      <c r="E170" s="6"/>
      <c r="F170" s="24"/>
      <c r="G170" s="6"/>
      <c r="H170" s="6"/>
      <c r="I170" s="6"/>
    </row>
    <row r="171" spans="1:9" ht="25" hidden="1" customHeight="1" x14ac:dyDescent="0.2">
      <c r="A171" s="39"/>
      <c r="B171" s="23"/>
      <c r="C171" s="6"/>
      <c r="D171" s="6"/>
      <c r="E171" s="6"/>
      <c r="F171" s="24"/>
      <c r="G171" s="6"/>
      <c r="H171" s="6"/>
      <c r="I171" s="6"/>
    </row>
    <row r="172" spans="1:9" ht="25" hidden="1" customHeight="1" x14ac:dyDescent="0.2">
      <c r="A172" s="39"/>
      <c r="B172" s="23"/>
      <c r="C172" s="6"/>
      <c r="D172" s="6"/>
      <c r="E172" s="6"/>
      <c r="F172" s="24"/>
      <c r="G172" s="6"/>
      <c r="H172" s="6"/>
      <c r="I172" s="6"/>
    </row>
    <row r="173" spans="1:9" ht="25" hidden="1" customHeight="1" x14ac:dyDescent="0.2">
      <c r="A173" s="39"/>
      <c r="B173" s="23"/>
      <c r="C173" s="6"/>
      <c r="D173" s="6"/>
      <c r="E173" s="6"/>
      <c r="F173" s="24"/>
      <c r="G173" s="6"/>
      <c r="H173" s="6"/>
      <c r="I173" s="6"/>
    </row>
    <row r="174" spans="1:9" ht="25" hidden="1" customHeight="1" x14ac:dyDescent="0.2">
      <c r="A174" s="39"/>
      <c r="B174" s="23"/>
      <c r="C174" s="6"/>
      <c r="D174" s="6"/>
      <c r="E174" s="6"/>
      <c r="F174" s="24"/>
      <c r="G174" s="6"/>
      <c r="H174" s="6"/>
      <c r="I174" s="6"/>
    </row>
    <row r="175" spans="1:9" ht="25" hidden="1" customHeight="1" x14ac:dyDescent="0.2">
      <c r="A175" s="39"/>
      <c r="B175" s="23"/>
      <c r="C175" s="6"/>
      <c r="D175" s="6"/>
      <c r="E175" s="6"/>
      <c r="F175" s="24"/>
      <c r="G175" s="6"/>
      <c r="H175" s="6"/>
      <c r="I175" s="6"/>
    </row>
    <row r="176" spans="1:9" ht="25" hidden="1" customHeight="1" x14ac:dyDescent="0.2">
      <c r="A176" s="39"/>
      <c r="B176" s="23"/>
      <c r="C176" s="6"/>
      <c r="D176" s="6"/>
      <c r="E176" s="6"/>
      <c r="F176" s="24"/>
      <c r="G176" s="6"/>
      <c r="H176" s="6"/>
      <c r="I176" s="6"/>
    </row>
    <row r="177" spans="1:9" ht="25" hidden="1" customHeight="1" x14ac:dyDescent="0.2">
      <c r="A177" s="39"/>
      <c r="B177" s="23"/>
      <c r="C177" s="6"/>
      <c r="D177" s="6"/>
      <c r="E177" s="6"/>
      <c r="F177" s="24"/>
      <c r="G177" s="6"/>
      <c r="H177" s="6"/>
      <c r="I177" s="6"/>
    </row>
    <row r="178" spans="1:9" ht="25" hidden="1" customHeight="1" x14ac:dyDescent="0.2">
      <c r="A178" s="39"/>
      <c r="B178" s="23"/>
      <c r="C178" s="6"/>
      <c r="D178" s="6"/>
      <c r="E178" s="6"/>
      <c r="F178" s="24"/>
      <c r="G178" s="6"/>
      <c r="H178" s="6"/>
      <c r="I178" s="6"/>
    </row>
    <row r="179" spans="1:9" ht="25" hidden="1" customHeight="1" x14ac:dyDescent="0.2">
      <c r="A179" s="39"/>
      <c r="B179" s="23"/>
      <c r="C179" s="6"/>
      <c r="D179" s="6"/>
      <c r="E179" s="6"/>
      <c r="F179" s="24"/>
      <c r="G179" s="6"/>
      <c r="H179" s="6"/>
      <c r="I179" s="6"/>
    </row>
    <row r="180" spans="1:9" ht="25" hidden="1" customHeight="1" x14ac:dyDescent="0.2">
      <c r="A180" s="39"/>
      <c r="B180" s="23"/>
      <c r="C180" s="6"/>
      <c r="D180" s="6"/>
      <c r="E180" s="6"/>
      <c r="F180" s="24"/>
      <c r="G180" s="6"/>
      <c r="H180" s="6"/>
      <c r="I180" s="6"/>
    </row>
    <row r="181" spans="1:9" ht="25" hidden="1" customHeight="1" x14ac:dyDescent="0.2">
      <c r="A181" s="39"/>
      <c r="B181" s="23"/>
      <c r="C181" s="6"/>
      <c r="D181" s="6"/>
      <c r="E181" s="6"/>
      <c r="F181" s="24"/>
      <c r="G181" s="6"/>
      <c r="H181" s="6"/>
      <c r="I181" s="6"/>
    </row>
    <row r="182" spans="1:9" ht="25" hidden="1" customHeight="1" x14ac:dyDescent="0.2">
      <c r="A182" s="39"/>
      <c r="B182" s="23"/>
      <c r="C182" s="6"/>
      <c r="D182" s="6"/>
      <c r="E182" s="6"/>
      <c r="F182" s="24"/>
      <c r="G182" s="6"/>
      <c r="H182" s="6"/>
      <c r="I182" s="6"/>
    </row>
    <row r="183" spans="1:9" ht="25" hidden="1" customHeight="1" x14ac:dyDescent="0.2">
      <c r="A183" s="39"/>
      <c r="B183" s="23"/>
      <c r="C183" s="6"/>
      <c r="D183" s="6"/>
      <c r="E183" s="6"/>
      <c r="F183" s="24"/>
      <c r="G183" s="6"/>
      <c r="H183" s="6"/>
      <c r="I183" s="6"/>
    </row>
    <row r="184" spans="1:9" ht="25" hidden="1" customHeight="1" x14ac:dyDescent="0.2">
      <c r="A184" s="39"/>
      <c r="B184" s="23"/>
      <c r="C184" s="6"/>
      <c r="D184" s="6"/>
      <c r="E184" s="6"/>
      <c r="F184" s="24"/>
      <c r="G184" s="6"/>
      <c r="H184" s="6"/>
      <c r="I184" s="6"/>
    </row>
    <row r="185" spans="1:9" ht="25" hidden="1" customHeight="1" x14ac:dyDescent="0.2">
      <c r="A185" s="39"/>
      <c r="B185" s="23"/>
      <c r="C185" s="6"/>
      <c r="D185" s="6"/>
      <c r="E185" s="6"/>
      <c r="F185" s="24"/>
      <c r="G185" s="6"/>
      <c r="H185" s="6"/>
      <c r="I185" s="6"/>
    </row>
    <row r="186" spans="1:9" ht="25" hidden="1" customHeight="1" x14ac:dyDescent="0.2">
      <c r="A186" s="39"/>
      <c r="B186" s="23"/>
      <c r="C186" s="6"/>
      <c r="D186" s="6"/>
      <c r="E186" s="6"/>
      <c r="F186" s="24"/>
      <c r="G186" s="6"/>
      <c r="H186" s="6"/>
      <c r="I186" s="6"/>
    </row>
    <row r="187" spans="1:9" ht="25" hidden="1" customHeight="1" x14ac:dyDescent="0.2">
      <c r="A187" s="39"/>
      <c r="B187" s="23"/>
      <c r="C187" s="6"/>
      <c r="D187" s="6"/>
      <c r="E187" s="6"/>
      <c r="F187" s="24"/>
      <c r="G187" s="6"/>
      <c r="H187" s="6"/>
      <c r="I187" s="6"/>
    </row>
    <row r="188" spans="1:9" ht="25" hidden="1" customHeight="1" x14ac:dyDescent="0.2">
      <c r="A188" s="39"/>
      <c r="B188" s="23"/>
      <c r="C188" s="6"/>
      <c r="D188" s="6"/>
      <c r="E188" s="6"/>
      <c r="F188" s="24"/>
      <c r="G188" s="6"/>
      <c r="H188" s="6"/>
      <c r="I188" s="6"/>
    </row>
    <row r="189" spans="1:9" ht="25" hidden="1" customHeight="1" x14ac:dyDescent="0.2">
      <c r="A189" s="39"/>
      <c r="B189" s="23"/>
      <c r="C189" s="6"/>
      <c r="D189" s="6"/>
      <c r="E189" s="6"/>
      <c r="F189" s="24"/>
      <c r="G189" s="6"/>
      <c r="H189" s="6"/>
      <c r="I189" s="6"/>
    </row>
    <row r="190" spans="1:9" ht="25" hidden="1" customHeight="1" x14ac:dyDescent="0.2">
      <c r="A190" s="39"/>
      <c r="B190" s="23"/>
      <c r="C190" s="6"/>
      <c r="D190" s="6"/>
      <c r="E190" s="6"/>
      <c r="F190" s="24"/>
      <c r="G190" s="6"/>
      <c r="H190" s="6"/>
      <c r="I190" s="6"/>
    </row>
    <row r="191" spans="1:9" ht="25" hidden="1" customHeight="1" x14ac:dyDescent="0.2">
      <c r="A191" s="39"/>
      <c r="B191" s="23"/>
      <c r="C191" s="6"/>
      <c r="D191" s="6"/>
      <c r="E191" s="6"/>
      <c r="F191" s="24"/>
      <c r="G191" s="6"/>
      <c r="H191" s="6"/>
      <c r="I191" s="6"/>
    </row>
    <row r="192" spans="1:9" ht="25" hidden="1" customHeight="1" x14ac:dyDescent="0.2">
      <c r="A192" s="39"/>
      <c r="B192" s="23"/>
      <c r="C192" s="6"/>
      <c r="D192" s="6"/>
      <c r="E192" s="6"/>
      <c r="F192" s="24"/>
      <c r="G192" s="6"/>
      <c r="H192" s="6"/>
      <c r="I192" s="6"/>
    </row>
    <row r="193" spans="1:9" ht="25" hidden="1" customHeight="1" x14ac:dyDescent="0.2">
      <c r="A193" s="39"/>
      <c r="B193" s="23"/>
      <c r="C193" s="6"/>
      <c r="D193" s="6"/>
      <c r="E193" s="6"/>
      <c r="F193" s="24"/>
      <c r="G193" s="6"/>
      <c r="H193" s="6"/>
      <c r="I193" s="6"/>
    </row>
    <row r="194" spans="1:9" ht="25" hidden="1" customHeight="1" x14ac:dyDescent="0.2">
      <c r="A194" s="39"/>
      <c r="B194" s="23"/>
      <c r="C194" s="6"/>
      <c r="D194" s="6"/>
      <c r="E194" s="6"/>
      <c r="F194" s="24"/>
      <c r="G194" s="6"/>
      <c r="H194" s="6"/>
      <c r="I194" s="6"/>
    </row>
    <row r="195" spans="1:9" ht="25" hidden="1" customHeight="1" x14ac:dyDescent="0.2">
      <c r="A195" s="39"/>
      <c r="B195" s="23"/>
      <c r="C195" s="6"/>
      <c r="D195" s="6"/>
      <c r="E195" s="6"/>
      <c r="F195" s="24"/>
      <c r="G195" s="6"/>
      <c r="H195" s="6"/>
      <c r="I195" s="6"/>
    </row>
    <row r="196" spans="1:9" ht="25" hidden="1" customHeight="1" x14ac:dyDescent="0.2">
      <c r="A196" s="39"/>
      <c r="B196" s="23"/>
      <c r="C196" s="6"/>
      <c r="D196" s="6"/>
      <c r="E196" s="6"/>
      <c r="F196" s="24"/>
      <c r="G196" s="6"/>
      <c r="H196" s="6"/>
      <c r="I196" s="6"/>
    </row>
    <row r="197" spans="1:9" ht="25" hidden="1" customHeight="1" x14ac:dyDescent="0.2">
      <c r="A197" s="39"/>
      <c r="B197" s="23"/>
      <c r="C197" s="6"/>
      <c r="D197" s="6"/>
      <c r="E197" s="6"/>
      <c r="F197" s="24"/>
      <c r="G197" s="6"/>
      <c r="H197" s="6"/>
      <c r="I197" s="6"/>
    </row>
    <row r="198" spans="1:9" ht="25" hidden="1" customHeight="1" x14ac:dyDescent="0.2">
      <c r="A198" s="39"/>
      <c r="B198" s="23"/>
      <c r="C198" s="6"/>
      <c r="D198" s="6"/>
      <c r="E198" s="6"/>
      <c r="F198" s="24"/>
      <c r="G198" s="6"/>
      <c r="H198" s="6"/>
      <c r="I198" s="6"/>
    </row>
    <row r="199" spans="1:9" ht="25" hidden="1" customHeight="1" x14ac:dyDescent="0.2">
      <c r="A199" s="39"/>
      <c r="B199" s="23"/>
      <c r="C199" s="6"/>
      <c r="D199" s="6"/>
      <c r="E199" s="6"/>
      <c r="F199" s="24"/>
      <c r="G199" s="6"/>
      <c r="H199" s="6"/>
      <c r="I199" s="6"/>
    </row>
    <row r="200" spans="1:9" ht="25" hidden="1" customHeight="1" x14ac:dyDescent="0.2">
      <c r="A200" s="39"/>
      <c r="B200" s="23"/>
      <c r="C200" s="6"/>
      <c r="D200" s="6"/>
      <c r="E200" s="6"/>
      <c r="F200" s="24"/>
      <c r="G200" s="6"/>
      <c r="H200" s="6"/>
      <c r="I200" s="6"/>
    </row>
    <row r="201" spans="1:9" ht="25" hidden="1" customHeight="1" x14ac:dyDescent="0.2">
      <c r="A201" s="39"/>
      <c r="B201" s="23"/>
      <c r="C201" s="6"/>
      <c r="D201" s="6"/>
      <c r="E201" s="6"/>
      <c r="F201" s="24"/>
      <c r="G201" s="6"/>
      <c r="H201" s="6"/>
      <c r="I201" s="6"/>
    </row>
    <row r="202" spans="1:9" ht="25" hidden="1" customHeight="1" x14ac:dyDescent="0.2">
      <c r="A202" s="39"/>
      <c r="B202" s="23"/>
      <c r="C202" s="6"/>
      <c r="D202" s="6"/>
      <c r="E202" s="6"/>
      <c r="F202" s="24"/>
      <c r="G202" s="6"/>
      <c r="H202" s="6"/>
      <c r="I202" s="6"/>
    </row>
    <row r="203" spans="1:9" ht="25" hidden="1" customHeight="1" x14ac:dyDescent="0.2">
      <c r="A203" s="39"/>
      <c r="B203" s="23"/>
      <c r="C203" s="6"/>
      <c r="D203" s="6"/>
      <c r="E203" s="6"/>
      <c r="F203" s="24"/>
      <c r="G203" s="6"/>
      <c r="H203" s="6"/>
      <c r="I203" s="6"/>
    </row>
    <row r="204" spans="1:9" ht="25" hidden="1" customHeight="1" x14ac:dyDescent="0.2">
      <c r="A204" s="39"/>
      <c r="B204" s="23"/>
      <c r="C204" s="6"/>
      <c r="D204" s="6"/>
      <c r="E204" s="6"/>
      <c r="F204" s="24"/>
      <c r="G204" s="6"/>
      <c r="H204" s="6"/>
      <c r="I204" s="6"/>
    </row>
    <row r="205" spans="1:9" ht="25" hidden="1" customHeight="1" x14ac:dyDescent="0.2">
      <c r="A205" s="39"/>
      <c r="B205" s="23"/>
      <c r="C205" s="6"/>
      <c r="D205" s="6"/>
      <c r="E205" s="6"/>
      <c r="F205" s="24"/>
      <c r="G205" s="6"/>
      <c r="H205" s="6"/>
      <c r="I205" s="6"/>
    </row>
    <row r="206" spans="1:9" ht="25" hidden="1" customHeight="1" x14ac:dyDescent="0.2">
      <c r="A206" s="39"/>
      <c r="B206" s="23"/>
      <c r="C206" s="6"/>
      <c r="D206" s="6"/>
      <c r="E206" s="6"/>
      <c r="F206" s="24"/>
      <c r="G206" s="6"/>
      <c r="H206" s="6"/>
      <c r="I206" s="6"/>
    </row>
    <row r="207" spans="1:9" ht="25" hidden="1" customHeight="1" x14ac:dyDescent="0.2">
      <c r="A207" s="39"/>
      <c r="B207" s="23"/>
      <c r="C207" s="6"/>
      <c r="D207" s="6"/>
      <c r="E207" s="6"/>
      <c r="F207" s="24"/>
      <c r="G207" s="6"/>
      <c r="H207" s="6"/>
      <c r="I207" s="6"/>
    </row>
    <row r="208" spans="1:9" ht="25" hidden="1" customHeight="1" x14ac:dyDescent="0.2">
      <c r="A208" s="39"/>
      <c r="B208" s="23"/>
      <c r="C208" s="6"/>
      <c r="D208" s="6"/>
      <c r="E208" s="6"/>
      <c r="F208" s="24"/>
      <c r="G208" s="6"/>
      <c r="H208" s="6"/>
      <c r="I208" s="6"/>
    </row>
    <row r="209" spans="1:9" ht="25" hidden="1" customHeight="1" x14ac:dyDescent="0.2">
      <c r="A209" s="39"/>
      <c r="B209" s="23"/>
      <c r="C209" s="6"/>
      <c r="D209" s="6"/>
      <c r="E209" s="6"/>
      <c r="F209" s="24"/>
      <c r="G209" s="6"/>
      <c r="H209" s="6"/>
      <c r="I209" s="6"/>
    </row>
    <row r="210" spans="1:9" ht="25" hidden="1" customHeight="1" x14ac:dyDescent="0.2">
      <c r="A210" s="39"/>
      <c r="B210" s="23"/>
      <c r="C210" s="6"/>
      <c r="D210" s="6"/>
      <c r="E210" s="6"/>
      <c r="F210" s="24"/>
      <c r="G210" s="6"/>
      <c r="H210" s="6"/>
      <c r="I210" s="6"/>
    </row>
    <row r="211" spans="1:9" ht="25" hidden="1" customHeight="1" x14ac:dyDescent="0.2">
      <c r="A211" s="39"/>
      <c r="B211" s="23"/>
      <c r="C211" s="6"/>
      <c r="D211" s="6"/>
      <c r="E211" s="6"/>
      <c r="F211" s="24"/>
      <c r="G211" s="6"/>
      <c r="H211" s="6"/>
      <c r="I211" s="6"/>
    </row>
    <row r="212" spans="1:9" ht="25" hidden="1" customHeight="1" x14ac:dyDescent="0.2">
      <c r="A212" s="39"/>
      <c r="B212" s="23"/>
      <c r="C212" s="6"/>
      <c r="D212" s="6"/>
      <c r="E212" s="6"/>
      <c r="F212" s="24"/>
      <c r="G212" s="6"/>
      <c r="H212" s="6"/>
      <c r="I212" s="6"/>
    </row>
    <row r="213" spans="1:9" ht="25" hidden="1" customHeight="1" x14ac:dyDescent="0.2">
      <c r="A213" s="39"/>
      <c r="B213" s="23"/>
      <c r="C213" s="6"/>
      <c r="D213" s="6"/>
      <c r="E213" s="6"/>
      <c r="F213" s="24"/>
      <c r="G213" s="6"/>
      <c r="H213" s="6"/>
      <c r="I213" s="6"/>
    </row>
    <row r="214" spans="1:9" ht="25" hidden="1" customHeight="1" x14ac:dyDescent="0.2">
      <c r="A214" s="39"/>
      <c r="B214" s="23"/>
      <c r="C214" s="6"/>
      <c r="D214" s="6"/>
      <c r="E214" s="6"/>
      <c r="F214" s="24"/>
      <c r="G214" s="6"/>
      <c r="H214" s="6"/>
      <c r="I214" s="6"/>
    </row>
    <row r="215" spans="1:9" ht="25" hidden="1" customHeight="1" x14ac:dyDescent="0.2">
      <c r="A215" s="39"/>
      <c r="B215" s="23"/>
      <c r="C215" s="6"/>
      <c r="D215" s="6"/>
      <c r="E215" s="6"/>
      <c r="F215" s="24"/>
      <c r="G215" s="6"/>
      <c r="H215" s="6"/>
      <c r="I215" s="6"/>
    </row>
    <row r="216" spans="1:9" ht="24" hidden="1" customHeight="1" x14ac:dyDescent="0.2">
      <c r="A216" s="39"/>
    </row>
    <row r="217" spans="1:9" ht="24" hidden="1" customHeight="1" x14ac:dyDescent="0.2">
      <c r="A217" s="39"/>
    </row>
    <row r="218" spans="1:9" ht="24" hidden="1" customHeight="1" x14ac:dyDescent="0.2">
      <c r="A218" s="39"/>
    </row>
    <row r="219" spans="1:9" ht="24" hidden="1" customHeight="1" x14ac:dyDescent="0.2">
      <c r="A219" s="39"/>
    </row>
    <row r="220" spans="1:9" ht="24" hidden="1" customHeight="1" x14ac:dyDescent="0.2">
      <c r="A220" s="39"/>
    </row>
    <row r="221" spans="1:9" ht="24" hidden="1" customHeight="1" x14ac:dyDescent="0.2"/>
    <row r="222" spans="1:9" ht="24" hidden="1" customHeight="1" x14ac:dyDescent="0.2"/>
    <row r="223" spans="1:9" ht="24" hidden="1" customHeight="1" x14ac:dyDescent="0.2"/>
    <row r="224" spans="1:9" ht="24" hidden="1" customHeight="1" x14ac:dyDescent="0.2"/>
    <row r="225" ht="24" hidden="1" customHeight="1" x14ac:dyDescent="0.2"/>
    <row r="226" ht="24" hidden="1" customHeight="1" x14ac:dyDescent="0.2"/>
    <row r="227" ht="24" hidden="1" customHeight="1" x14ac:dyDescent="0.2"/>
    <row r="228" ht="24" hidden="1" customHeight="1" x14ac:dyDescent="0.2"/>
    <row r="229" ht="24" hidden="1" customHeight="1" x14ac:dyDescent="0.2"/>
    <row r="230" ht="24" hidden="1" customHeight="1" x14ac:dyDescent="0.2"/>
  </sheetData>
  <mergeCells count="3">
    <mergeCell ref="A1:A6"/>
    <mergeCell ref="E2:H3"/>
    <mergeCell ref="I2:L3"/>
  </mergeCells>
  <conditionalFormatting sqref="I37:I215 I12:I32">
    <cfRule type="expression" dxfId="2" priority="1">
      <formula>I12="Conferido"</formula>
    </cfRule>
    <cfRule type="expression" dxfId="1" priority="2">
      <formula>OR(I12="Revisar",I12="Falta comprovante")</formula>
    </cfRule>
  </conditionalFormatting>
  <dataValidations count="4">
    <dataValidation type="list" allowBlank="1" showInputMessage="1" showErrorMessage="1" sqref="D6:D31" xr:uid="{00000000-0002-0000-0100-000000000000}">
      <formula1>"HOLERITE,CNPJ,FREELANCE"</formula1>
    </dataValidation>
    <dataValidation type="list" sqref="C37:C215 C12:C32" xr:uid="{00000000-0002-0000-0100-000001000000}">
      <formula1>"Rendimento,Despesa dedutível,Despesa não dedutível,Movimentação patrimonial"</formula1>
    </dataValidation>
    <dataValidation type="list" sqref="D37:D215 D12:D32" xr:uid="{00000000-0002-0000-0100-000002000000}">
      <formula1>"Salário,Prestação de serviços,Aposentadoria,Aluguel,Investimentos,Dividendos,Saúde,Educação,Previdência,Doações,Bens,Outros"</formula1>
    </dataValidation>
    <dataValidation type="list" sqref="I37:I215 I12:I32" xr:uid="{00000000-0002-0000-0100-000003000000}">
      <formula1>"Pendente,Conferido,Falta comprovante,Revisar"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9"/>
  <sheetViews>
    <sheetView showGridLines="0" workbookViewId="0">
      <selection activeCell="A23" sqref="A23:A24"/>
    </sheetView>
  </sheetViews>
  <sheetFormatPr baseColWidth="10" defaultColWidth="0" defaultRowHeight="15" zeroHeight="1" x14ac:dyDescent="0.2"/>
  <cols>
    <col min="1" max="1" width="27" style="1" customWidth="1"/>
    <col min="2" max="2" width="18" customWidth="1"/>
    <col min="3" max="3" width="17" customWidth="1"/>
    <col min="4" max="4" width="19" customWidth="1"/>
    <col min="5" max="5" width="22" customWidth="1"/>
    <col min="6" max="6" width="17" customWidth="1"/>
    <col min="7" max="7" width="19" customWidth="1"/>
    <col min="8" max="8" width="17" customWidth="1"/>
    <col min="9" max="9" width="18" customWidth="1"/>
    <col min="10" max="11" width="17" customWidth="1"/>
    <col min="12" max="12" width="21" customWidth="1"/>
    <col min="13" max="13" width="3" style="3" customWidth="1"/>
    <col min="14" max="16384" width="8.83203125" hidden="1"/>
  </cols>
  <sheetData>
    <row r="1" spans="1:12" ht="17" customHeight="1" x14ac:dyDescent="0.2">
      <c r="A1" s="54" t="e" vm="1">
        <v>#VALUE!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">
      <c r="A2" s="54"/>
      <c r="B2" s="41"/>
      <c r="C2" s="41"/>
      <c r="D2" s="41"/>
      <c r="E2" s="46" t="s">
        <v>50</v>
      </c>
      <c r="F2" s="47"/>
      <c r="G2" s="47"/>
      <c r="H2" s="47"/>
      <c r="I2" s="48" t="s">
        <v>51</v>
      </c>
      <c r="J2" s="49"/>
      <c r="K2" s="49"/>
      <c r="L2" s="49"/>
    </row>
    <row r="3" spans="1:12" x14ac:dyDescent="0.2">
      <c r="A3" s="54"/>
      <c r="B3" s="41"/>
      <c r="C3" s="41"/>
      <c r="D3" s="41"/>
      <c r="E3" s="47"/>
      <c r="F3" s="47"/>
      <c r="G3" s="47"/>
      <c r="H3" s="47"/>
      <c r="I3" s="49"/>
      <c r="J3" s="49"/>
      <c r="K3" s="49"/>
      <c r="L3" s="49"/>
    </row>
    <row r="4" spans="1:12" ht="22" customHeight="1" x14ac:dyDescent="0.2">
      <c r="A4" s="54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ht="12" customHeight="1" x14ac:dyDescent="0.2">
      <c r="A5" s="54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2" ht="26" customHeight="1" x14ac:dyDescent="0.2">
      <c r="A6" s="54"/>
      <c r="B6" s="5" t="s">
        <v>85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26" customHeight="1" x14ac:dyDescent="0.2">
      <c r="A7" s="40" t="s">
        <v>52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10" customHeight="1" x14ac:dyDescent="0.2">
      <c r="A8" s="39"/>
      <c r="B8" s="19" t="s">
        <v>86</v>
      </c>
      <c r="C8" s="19"/>
      <c r="D8" s="19"/>
      <c r="E8" s="19"/>
      <c r="F8" s="19"/>
      <c r="G8" s="19"/>
      <c r="H8" s="19" t="s">
        <v>87</v>
      </c>
      <c r="I8" s="19"/>
      <c r="J8" s="19"/>
      <c r="K8" s="19"/>
      <c r="L8" s="19"/>
    </row>
    <row r="9" spans="1:12" ht="30" customHeight="1" x14ac:dyDescent="0.2">
      <c r="A9" s="45" t="str">
        <f>IFERROR(HYPERLINK("#'Início'!B10","INÍCIO"),"INÍCIO")</f>
        <v>INÍCIO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">
      <c r="A10" s="39"/>
      <c r="B10" s="27" t="s">
        <v>88</v>
      </c>
      <c r="C10" s="27"/>
      <c r="D10" s="27"/>
      <c r="E10" s="11"/>
      <c r="F10" s="11"/>
      <c r="G10" s="11"/>
      <c r="H10" s="27" t="s">
        <v>89</v>
      </c>
      <c r="I10" s="27"/>
      <c r="J10" s="11"/>
      <c r="K10" s="11"/>
      <c r="L10" s="11"/>
    </row>
    <row r="11" spans="1:12" ht="24" customHeight="1" x14ac:dyDescent="0.2">
      <c r="A11" s="39"/>
      <c r="B11" s="27" t="s">
        <v>90</v>
      </c>
      <c r="C11" s="27"/>
      <c r="D11" s="27"/>
      <c r="E11" s="72" t="s">
        <v>222</v>
      </c>
      <c r="F11" s="11"/>
      <c r="G11" s="11"/>
      <c r="H11" s="27" t="s">
        <v>91</v>
      </c>
      <c r="I11" s="27"/>
      <c r="J11" s="11"/>
      <c r="K11" s="11"/>
      <c r="L11" s="11"/>
    </row>
    <row r="12" spans="1:12" ht="30" customHeight="1" x14ac:dyDescent="0.2">
      <c r="A12" s="45" t="str">
        <f>IFERROR(HYPERLINK("#'Transações'!B10","TRANSAÇÕES"),"TRANSAÇÕES")</f>
        <v>TRANSAÇÕES</v>
      </c>
      <c r="B12" s="27" t="s">
        <v>92</v>
      </c>
      <c r="C12" s="27"/>
      <c r="D12" s="27"/>
      <c r="E12" s="28"/>
      <c r="F12" s="11"/>
      <c r="G12" s="11"/>
      <c r="H12" s="27" t="s">
        <v>93</v>
      </c>
      <c r="I12" s="27"/>
      <c r="J12" s="11"/>
      <c r="K12" s="11"/>
      <c r="L12" s="11"/>
    </row>
    <row r="13" spans="1:12" ht="10" customHeight="1" x14ac:dyDescent="0.2">
      <c r="A13" s="39"/>
      <c r="B13" s="27" t="s">
        <v>94</v>
      </c>
      <c r="C13" s="27"/>
      <c r="D13" s="27"/>
      <c r="E13" s="11"/>
      <c r="F13" s="11"/>
      <c r="G13" s="11"/>
      <c r="H13" s="27" t="s">
        <v>95</v>
      </c>
      <c r="I13" s="27"/>
      <c r="J13" s="11"/>
      <c r="K13" s="11"/>
      <c r="L13" s="11"/>
    </row>
    <row r="14" spans="1:12" ht="28" customHeight="1" x14ac:dyDescent="0.2">
      <c r="A14" s="39"/>
      <c r="B14" s="27" t="s">
        <v>96</v>
      </c>
      <c r="C14" s="27"/>
      <c r="D14" s="27"/>
      <c r="E14" s="11"/>
      <c r="F14" s="11"/>
      <c r="G14" s="11"/>
      <c r="H14" s="27" t="s">
        <v>97</v>
      </c>
      <c r="I14" s="27"/>
      <c r="J14" s="11"/>
      <c r="K14" s="11"/>
      <c r="L14" s="11"/>
    </row>
    <row r="15" spans="1:12" ht="30" customHeight="1" x14ac:dyDescent="0.2">
      <c r="A15" s="42" t="str">
        <f>IFERROR(HYPERLINK("#'Dados Pessoais'!B10","DADOS PESSOAIS"),"DADOS PESSOAIS")</f>
        <v>DADOS PESSOAIS</v>
      </c>
      <c r="B15" s="27" t="s">
        <v>98</v>
      </c>
      <c r="C15" s="27"/>
      <c r="D15" s="27"/>
      <c r="E15" s="11"/>
      <c r="F15" s="11"/>
      <c r="G15" s="11"/>
      <c r="H15" s="27" t="s">
        <v>99</v>
      </c>
      <c r="I15" s="27"/>
      <c r="J15" s="11"/>
      <c r="K15" s="11"/>
      <c r="L15" s="11"/>
    </row>
    <row r="16" spans="1:12" ht="10" customHeight="1" x14ac:dyDescent="0.2">
      <c r="A16" s="39"/>
      <c r="B16" s="27" t="s">
        <v>100</v>
      </c>
      <c r="C16" s="27"/>
      <c r="D16" s="27"/>
      <c r="E16" s="11"/>
      <c r="F16" s="11"/>
      <c r="G16" s="11"/>
      <c r="H16" s="27" t="s">
        <v>101</v>
      </c>
      <c r="I16" s="27"/>
      <c r="J16" s="11"/>
      <c r="K16" s="11"/>
      <c r="L16" s="11"/>
    </row>
    <row r="17" spans="1:12" ht="24" customHeight="1" x14ac:dyDescent="0.2">
      <c r="A17" s="39"/>
      <c r="B17" s="27" t="s">
        <v>102</v>
      </c>
      <c r="C17" s="27"/>
      <c r="D17" s="27"/>
      <c r="E17" s="11"/>
      <c r="F17" s="11"/>
      <c r="G17" s="11"/>
      <c r="H17" s="27" t="s">
        <v>103</v>
      </c>
      <c r="I17" s="27"/>
      <c r="J17" s="11"/>
      <c r="K17" s="11"/>
      <c r="L17" s="11"/>
    </row>
    <row r="18" spans="1:12" ht="30" customHeight="1" x14ac:dyDescent="0.2">
      <c r="A18" s="45" t="str">
        <f>IFERROR(HYPERLINK("#'INFORMES'!B10","INFORMES"),"INFORMES")</f>
        <v>INFORMES</v>
      </c>
      <c r="B18" s="27" t="s">
        <v>104</v>
      </c>
      <c r="C18" s="27"/>
      <c r="D18" s="27"/>
      <c r="E18" s="11"/>
      <c r="F18" s="11"/>
      <c r="G18" s="11"/>
      <c r="H18" s="27" t="s">
        <v>105</v>
      </c>
      <c r="I18" s="27"/>
      <c r="J18" s="11"/>
      <c r="K18" s="11"/>
      <c r="L18" s="11"/>
    </row>
    <row r="19" spans="1:12" ht="10" customHeight="1" x14ac:dyDescent="0.2">
      <c r="A19" s="39"/>
      <c r="B19" s="27" t="s">
        <v>106</v>
      </c>
      <c r="C19" s="27"/>
      <c r="D19" s="27"/>
      <c r="E19" s="11"/>
      <c r="F19" s="11"/>
      <c r="G19" s="11"/>
      <c r="H19" s="27" t="s">
        <v>107</v>
      </c>
      <c r="I19" s="27"/>
      <c r="J19" s="11"/>
      <c r="K19" s="11"/>
      <c r="L19" s="11"/>
    </row>
    <row r="20" spans="1:12" ht="24" customHeight="1" x14ac:dyDescent="0.2">
      <c r="A20" s="39"/>
      <c r="B20" s="19" t="s">
        <v>108</v>
      </c>
      <c r="C20" s="19"/>
      <c r="D20" s="19"/>
      <c r="E20" s="19"/>
      <c r="F20" s="19"/>
      <c r="G20" s="19"/>
      <c r="H20" s="2"/>
      <c r="I20" s="2"/>
      <c r="J20" s="2"/>
      <c r="K20" s="2"/>
      <c r="L20" s="2"/>
    </row>
    <row r="21" spans="1:12" ht="30" customHeight="1" x14ac:dyDescent="0.2">
      <c r="A21" s="45" t="str">
        <f>IFERROR(HYPERLINK("#'Relatórios'!B10","RELATÓRIOS"),"RELATÓRIOS")</f>
        <v>RELATÓRIOS</v>
      </c>
      <c r="B21" s="27" t="s">
        <v>110</v>
      </c>
      <c r="C21" s="27"/>
      <c r="D21" s="27"/>
      <c r="E21" s="29" t="str">
        <f>IF(E11="","Pendente",IF(LEN(SUBSTITUTE(SUBSTITUTE(E11,".",""),"-",""))=11,"11 dígitos informados","Revisar o CPF"))</f>
        <v>11 dígitos informados</v>
      </c>
      <c r="F21" s="29"/>
      <c r="G21" s="29"/>
      <c r="H21" s="2"/>
      <c r="I21" s="2"/>
      <c r="J21" s="2"/>
      <c r="K21" s="2"/>
      <c r="L21" s="2"/>
    </row>
    <row r="22" spans="1:12" ht="10" customHeight="1" x14ac:dyDescent="0.2">
      <c r="A22" s="39"/>
      <c r="B22" s="27"/>
      <c r="C22" s="27"/>
      <c r="D22" s="27"/>
      <c r="E22" s="29"/>
      <c r="F22" s="29"/>
      <c r="G22" s="29"/>
      <c r="H22" s="65" t="s">
        <v>109</v>
      </c>
      <c r="I22" s="65"/>
      <c r="J22" s="65"/>
      <c r="K22" s="65"/>
      <c r="L22" s="65"/>
    </row>
    <row r="23" spans="1:12" ht="24" customHeight="1" x14ac:dyDescent="0.2">
      <c r="A23" s="39"/>
      <c r="B23" s="19" t="s">
        <v>223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1:12" ht="30" customHeight="1" x14ac:dyDescent="0.2">
      <c r="A24" s="3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32" x14ac:dyDescent="0.2">
      <c r="A25" s="39"/>
      <c r="B25" s="21" t="s">
        <v>111</v>
      </c>
      <c r="C25" s="21" t="s">
        <v>112</v>
      </c>
      <c r="D25" s="21" t="s">
        <v>113</v>
      </c>
      <c r="E25" s="21" t="s">
        <v>114</v>
      </c>
      <c r="F25" s="21"/>
      <c r="G25" s="21" t="s">
        <v>115</v>
      </c>
      <c r="H25" s="21"/>
      <c r="I25" s="2"/>
      <c r="J25" s="2"/>
      <c r="K25" s="2"/>
      <c r="L25" s="2"/>
    </row>
    <row r="26" spans="1:12" ht="24" customHeight="1" x14ac:dyDescent="0.2">
      <c r="A26" s="39"/>
      <c r="B26" s="6"/>
      <c r="C26" s="6"/>
      <c r="D26" s="6"/>
      <c r="E26" s="23"/>
      <c r="F26" s="6"/>
      <c r="G26" s="6"/>
      <c r="H26" s="6"/>
      <c r="I26" s="2"/>
      <c r="J26" s="2"/>
      <c r="K26" s="2"/>
      <c r="L26" s="2"/>
    </row>
    <row r="27" spans="1:12" ht="24" customHeight="1" x14ac:dyDescent="0.2">
      <c r="A27" s="39"/>
      <c r="B27" s="6"/>
      <c r="C27" s="6"/>
      <c r="D27" s="6"/>
      <c r="E27" s="23"/>
      <c r="F27" s="6"/>
      <c r="G27" s="6"/>
      <c r="H27" s="6"/>
      <c r="I27" s="2"/>
      <c r="J27" s="2"/>
      <c r="K27" s="2"/>
      <c r="L27" s="2"/>
    </row>
    <row r="28" spans="1:12" ht="28" customHeight="1" x14ac:dyDescent="0.2">
      <c r="A28" s="39"/>
      <c r="B28" s="6"/>
      <c r="C28" s="6"/>
      <c r="D28" s="6"/>
      <c r="E28" s="23"/>
      <c r="F28" s="6"/>
      <c r="G28" s="6"/>
      <c r="H28" s="6"/>
      <c r="I28" s="2"/>
      <c r="J28" s="2"/>
      <c r="K28" s="2"/>
      <c r="L28" s="2"/>
    </row>
    <row r="29" spans="1:12" ht="24" customHeight="1" x14ac:dyDescent="0.2">
      <c r="A29" s="43" t="s">
        <v>67</v>
      </c>
      <c r="B29" s="6"/>
      <c r="C29" s="6"/>
      <c r="D29" s="6"/>
      <c r="E29" s="23"/>
      <c r="F29" s="6"/>
      <c r="G29" s="6"/>
      <c r="H29" s="6"/>
      <c r="I29" s="2"/>
      <c r="J29" s="2"/>
      <c r="K29" s="2"/>
      <c r="L29" s="2"/>
    </row>
    <row r="30" spans="1:12" ht="24" customHeight="1" x14ac:dyDescent="0.2">
      <c r="A30" s="44" t="s">
        <v>68</v>
      </c>
      <c r="B30" s="6"/>
      <c r="C30" s="6"/>
      <c r="D30" s="6"/>
      <c r="E30" s="23"/>
      <c r="F30" s="6"/>
      <c r="G30" s="6"/>
      <c r="H30" s="6"/>
      <c r="I30" s="2"/>
      <c r="J30" s="2"/>
      <c r="K30" s="2"/>
      <c r="L30" s="2"/>
    </row>
    <row r="31" spans="1:12" ht="24" customHeight="1" x14ac:dyDescent="0.2">
      <c r="A31" s="39"/>
      <c r="B31" s="6"/>
      <c r="C31" s="6"/>
      <c r="D31" s="6"/>
      <c r="E31" s="23"/>
      <c r="F31" s="6"/>
      <c r="G31" s="6"/>
      <c r="H31" s="6"/>
      <c r="I31" s="2"/>
      <c r="J31" s="2"/>
      <c r="K31" s="2"/>
      <c r="L31" s="2"/>
    </row>
    <row r="32" spans="1:12" ht="24" customHeight="1" x14ac:dyDescent="0.2">
      <c r="A32" s="39"/>
      <c r="B32" s="6"/>
      <c r="C32" s="6"/>
      <c r="D32" s="6"/>
      <c r="E32" s="23"/>
      <c r="F32" s="6"/>
      <c r="G32" s="6"/>
      <c r="H32" s="6"/>
      <c r="I32" s="2"/>
      <c r="J32" s="2"/>
      <c r="K32" s="2"/>
      <c r="L32" s="2"/>
    </row>
    <row r="33" spans="1:12" ht="28" customHeight="1" x14ac:dyDescent="0.2">
      <c r="A33" s="39"/>
      <c r="B33" s="6"/>
      <c r="C33" s="6"/>
      <c r="D33" s="6"/>
      <c r="E33" s="23"/>
      <c r="F33" s="6"/>
      <c r="G33" s="6"/>
      <c r="H33" s="6"/>
      <c r="I33" s="2"/>
      <c r="J33" s="2"/>
      <c r="K33" s="2"/>
      <c r="L33" s="2"/>
    </row>
    <row r="34" spans="1:12" ht="24" customHeight="1" x14ac:dyDescent="0.2">
      <c r="A34" s="39"/>
      <c r="B34" s="6"/>
      <c r="C34" s="6"/>
      <c r="D34" s="6"/>
      <c r="E34" s="23"/>
      <c r="F34" s="6"/>
      <c r="G34" s="6"/>
      <c r="H34" s="6"/>
      <c r="I34" s="2"/>
      <c r="J34" s="2"/>
      <c r="K34" s="2"/>
      <c r="L34" s="2"/>
    </row>
    <row r="35" spans="1:12" ht="32" customHeight="1" x14ac:dyDescent="0.2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</row>
    <row r="36" spans="1:12" ht="24" hidden="1" customHeight="1" x14ac:dyDescent="0.2">
      <c r="A36" s="39"/>
    </row>
    <row r="37" spans="1:12" ht="24" hidden="1" customHeight="1" x14ac:dyDescent="0.2">
      <c r="A37" s="39"/>
    </row>
    <row r="38" spans="1:12" ht="24" hidden="1" customHeight="1" x14ac:dyDescent="0.2">
      <c r="A38" s="39"/>
    </row>
    <row r="39" spans="1:12" ht="24" hidden="1" customHeight="1" x14ac:dyDescent="0.2">
      <c r="A39" s="39"/>
    </row>
    <row r="40" spans="1:12" ht="24" hidden="1" customHeight="1" x14ac:dyDescent="0.2">
      <c r="A40" s="3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24" hidden="1" customHeight="1" x14ac:dyDescent="0.2">
      <c r="A41" s="39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</row>
    <row r="42" spans="1:12" ht="24" hidden="1" customHeight="1" x14ac:dyDescent="0.2">
      <c r="A42" s="39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</row>
    <row r="43" spans="1:12" ht="24" hidden="1" customHeight="1" x14ac:dyDescent="0.2">
      <c r="A43" s="39"/>
    </row>
    <row r="44" spans="1:12" ht="24" hidden="1" customHeight="1" x14ac:dyDescent="0.2">
      <c r="A44" s="39"/>
    </row>
    <row r="45" spans="1:12" ht="24" hidden="1" customHeight="1" x14ac:dyDescent="0.2">
      <c r="A45" s="39"/>
    </row>
    <row r="46" spans="1:12" ht="24" hidden="1" customHeight="1" x14ac:dyDescent="0.2">
      <c r="A46" s="39"/>
    </row>
    <row r="47" spans="1:12" ht="24" hidden="1" customHeight="1" x14ac:dyDescent="0.2">
      <c r="A47" s="39"/>
    </row>
    <row r="48" spans="1:12" ht="24" hidden="1" customHeight="1" x14ac:dyDescent="0.2">
      <c r="A48" s="39"/>
    </row>
    <row r="49" spans="1:12" ht="24" hidden="1" customHeight="1" x14ac:dyDescent="0.2">
      <c r="A49" s="3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24" hidden="1" customHeight="1" x14ac:dyDescent="0.2">
      <c r="A50" s="3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24" hidden="1" customHeight="1" x14ac:dyDescent="0.2">
      <c r="A51" s="3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24" hidden="1" customHeight="1" x14ac:dyDescent="0.2">
      <c r="A52" s="3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24" hidden="1" customHeight="1" x14ac:dyDescent="0.2">
      <c r="A53" s="3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24" hidden="1" customHeight="1" x14ac:dyDescent="0.2">
      <c r="A54" s="3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24" hidden="1" customHeight="1" x14ac:dyDescent="0.2">
      <c r="A55" s="3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24" hidden="1" customHeight="1" x14ac:dyDescent="0.2">
      <c r="A56" s="3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24" hidden="1" customHeight="1" x14ac:dyDescent="0.2">
      <c r="A57" s="3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24" hidden="1" customHeight="1" x14ac:dyDescent="0.2">
      <c r="A58" s="3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24" hidden="1" customHeight="1" x14ac:dyDescent="0.2">
      <c r="A59" s="3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24" hidden="1" customHeight="1" x14ac:dyDescent="0.2">
      <c r="A60" s="3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24" hidden="1" customHeight="1" x14ac:dyDescent="0.2">
      <c r="A61" s="3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24" hidden="1" customHeight="1" x14ac:dyDescent="0.2">
      <c r="A62" s="3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24" hidden="1" customHeight="1" x14ac:dyDescent="0.2">
      <c r="A63" s="3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24" hidden="1" customHeight="1" x14ac:dyDescent="0.2">
      <c r="A64" s="3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24" hidden="1" customHeight="1" x14ac:dyDescent="0.2">
      <c r="A65" s="3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24" hidden="1" customHeight="1" x14ac:dyDescent="0.2">
      <c r="A66" s="3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24" hidden="1" customHeight="1" x14ac:dyDescent="0.2">
      <c r="A67" s="3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24" hidden="1" customHeight="1" x14ac:dyDescent="0.2">
      <c r="A68" s="3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24" hidden="1" customHeight="1" x14ac:dyDescent="0.2">
      <c r="A69" s="3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24" hidden="1" customHeight="1" x14ac:dyDescent="0.2">
      <c r="A70" s="3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24" hidden="1" customHeight="1" x14ac:dyDescent="0.2">
      <c r="A71" s="3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24" hidden="1" customHeight="1" x14ac:dyDescent="0.2">
      <c r="A72" s="3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24" hidden="1" customHeight="1" x14ac:dyDescent="0.2">
      <c r="A73" s="3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24" hidden="1" customHeight="1" x14ac:dyDescent="0.2">
      <c r="A74" s="3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24" hidden="1" customHeight="1" x14ac:dyDescent="0.2">
      <c r="A75" s="39"/>
    </row>
    <row r="76" spans="1:12" ht="24" hidden="1" customHeight="1" x14ac:dyDescent="0.2">
      <c r="A76" s="39"/>
    </row>
    <row r="77" spans="1:12" ht="24" hidden="1" customHeight="1" x14ac:dyDescent="0.2">
      <c r="A77" s="39"/>
    </row>
    <row r="78" spans="1:12" ht="24" hidden="1" customHeight="1" x14ac:dyDescent="0.2">
      <c r="A78" s="39"/>
    </row>
    <row r="79" spans="1:12" ht="24" hidden="1" customHeight="1" x14ac:dyDescent="0.2">
      <c r="A79" s="39"/>
    </row>
    <row r="80" spans="1:12" ht="24" hidden="1" customHeight="1" x14ac:dyDescent="0.2">
      <c r="A80" s="39"/>
    </row>
    <row r="81" spans="1:1" ht="24" hidden="1" customHeight="1" x14ac:dyDescent="0.2">
      <c r="A81" s="39"/>
    </row>
    <row r="82" spans="1:1" ht="24" hidden="1" customHeight="1" x14ac:dyDescent="0.2">
      <c r="A82" s="39"/>
    </row>
    <row r="83" spans="1:1" ht="24" hidden="1" customHeight="1" x14ac:dyDescent="0.2">
      <c r="A83" s="39"/>
    </row>
    <row r="84" spans="1:1" ht="24" hidden="1" customHeight="1" x14ac:dyDescent="0.2">
      <c r="A84" s="39"/>
    </row>
    <row r="85" spans="1:1" ht="24" hidden="1" customHeight="1" x14ac:dyDescent="0.2">
      <c r="A85" s="39"/>
    </row>
    <row r="86" spans="1:1" ht="24" hidden="1" customHeight="1" x14ac:dyDescent="0.2">
      <c r="A86" s="39"/>
    </row>
    <row r="87" spans="1:1" ht="24" hidden="1" customHeight="1" x14ac:dyDescent="0.2">
      <c r="A87" s="39"/>
    </row>
    <row r="88" spans="1:1" ht="24" hidden="1" customHeight="1" x14ac:dyDescent="0.2">
      <c r="A88" s="39"/>
    </row>
    <row r="89" spans="1:1" ht="24" hidden="1" customHeight="1" x14ac:dyDescent="0.2">
      <c r="A89" s="39"/>
    </row>
    <row r="90" spans="1:1" ht="24" hidden="1" customHeight="1" x14ac:dyDescent="0.2">
      <c r="A90" s="39"/>
    </row>
    <row r="91" spans="1:1" ht="24" hidden="1" customHeight="1" x14ac:dyDescent="0.2">
      <c r="A91" s="39"/>
    </row>
    <row r="92" spans="1:1" ht="24" hidden="1" customHeight="1" x14ac:dyDescent="0.2">
      <c r="A92" s="39"/>
    </row>
    <row r="93" spans="1:1" ht="24" hidden="1" customHeight="1" x14ac:dyDescent="0.2">
      <c r="A93" s="39"/>
    </row>
    <row r="94" spans="1:1" ht="24" hidden="1" customHeight="1" x14ac:dyDescent="0.2">
      <c r="A94" s="39"/>
    </row>
    <row r="95" spans="1:1" ht="24" hidden="1" customHeight="1" x14ac:dyDescent="0.2">
      <c r="A95" s="39"/>
    </row>
    <row r="96" spans="1:1" ht="24" hidden="1" customHeight="1" x14ac:dyDescent="0.2">
      <c r="A96" s="39"/>
    </row>
    <row r="97" spans="1:1" ht="24" hidden="1" customHeight="1" x14ac:dyDescent="0.2">
      <c r="A97" s="39"/>
    </row>
    <row r="98" spans="1:1" ht="24" hidden="1" customHeight="1" x14ac:dyDescent="0.2">
      <c r="A98" s="39"/>
    </row>
    <row r="99" spans="1:1" ht="24" hidden="1" customHeight="1" x14ac:dyDescent="0.2">
      <c r="A99" s="39"/>
    </row>
    <row r="100" spans="1:1" ht="24" hidden="1" customHeight="1" x14ac:dyDescent="0.2">
      <c r="A100" s="39"/>
    </row>
    <row r="101" spans="1:1" ht="24" hidden="1" customHeight="1" x14ac:dyDescent="0.2">
      <c r="A101" s="39"/>
    </row>
    <row r="102" spans="1:1" ht="24" hidden="1" customHeight="1" x14ac:dyDescent="0.2">
      <c r="A102" s="39"/>
    </row>
    <row r="103" spans="1:1" ht="24" hidden="1" customHeight="1" x14ac:dyDescent="0.2">
      <c r="A103" s="39"/>
    </row>
    <row r="104" spans="1:1" ht="24" hidden="1" customHeight="1" x14ac:dyDescent="0.2">
      <c r="A104" s="39"/>
    </row>
    <row r="105" spans="1:1" ht="24" hidden="1" customHeight="1" x14ac:dyDescent="0.2">
      <c r="A105" s="39"/>
    </row>
    <row r="106" spans="1:1" ht="24" hidden="1" customHeight="1" x14ac:dyDescent="0.2">
      <c r="A106" s="39"/>
    </row>
    <row r="107" spans="1:1" ht="24" hidden="1" customHeight="1" x14ac:dyDescent="0.2">
      <c r="A107" s="39"/>
    </row>
    <row r="108" spans="1:1" ht="24" hidden="1" customHeight="1" x14ac:dyDescent="0.2">
      <c r="A108" s="39"/>
    </row>
    <row r="109" spans="1:1" ht="24" hidden="1" customHeight="1" x14ac:dyDescent="0.2">
      <c r="A109" s="39"/>
    </row>
    <row r="110" spans="1:1" ht="24" hidden="1" customHeight="1" x14ac:dyDescent="0.2">
      <c r="A110" s="39"/>
    </row>
    <row r="111" spans="1:1" ht="24" hidden="1" customHeight="1" x14ac:dyDescent="0.2">
      <c r="A111" s="39"/>
    </row>
    <row r="112" spans="1:1" ht="24" hidden="1" customHeight="1" x14ac:dyDescent="0.2">
      <c r="A112" s="39"/>
    </row>
    <row r="113" spans="1:1" ht="24" hidden="1" customHeight="1" x14ac:dyDescent="0.2">
      <c r="A113" s="39"/>
    </row>
    <row r="114" spans="1:1" ht="24" hidden="1" customHeight="1" x14ac:dyDescent="0.2">
      <c r="A114" s="39"/>
    </row>
    <row r="115" spans="1:1" ht="24" hidden="1" customHeight="1" x14ac:dyDescent="0.2">
      <c r="A115" s="39"/>
    </row>
    <row r="116" spans="1:1" ht="24" hidden="1" customHeight="1" x14ac:dyDescent="0.2">
      <c r="A116" s="39"/>
    </row>
    <row r="117" spans="1:1" ht="24" hidden="1" customHeight="1" x14ac:dyDescent="0.2">
      <c r="A117" s="39"/>
    </row>
    <row r="118" spans="1:1" ht="24" hidden="1" customHeight="1" x14ac:dyDescent="0.2">
      <c r="A118" s="39"/>
    </row>
    <row r="119" spans="1:1" ht="24" hidden="1" customHeight="1" x14ac:dyDescent="0.2">
      <c r="A119" s="39"/>
    </row>
    <row r="120" spans="1:1" ht="24" hidden="1" customHeight="1" x14ac:dyDescent="0.2">
      <c r="A120" s="39"/>
    </row>
    <row r="121" spans="1:1" ht="24" hidden="1" customHeight="1" x14ac:dyDescent="0.2">
      <c r="A121" s="39"/>
    </row>
    <row r="122" spans="1:1" ht="24" hidden="1" customHeight="1" x14ac:dyDescent="0.2">
      <c r="A122" s="39"/>
    </row>
    <row r="123" spans="1:1" ht="24" hidden="1" customHeight="1" x14ac:dyDescent="0.2">
      <c r="A123" s="39"/>
    </row>
    <row r="124" spans="1:1" ht="24" hidden="1" customHeight="1" x14ac:dyDescent="0.2">
      <c r="A124" s="39"/>
    </row>
    <row r="125" spans="1:1" ht="24" hidden="1" customHeight="1" x14ac:dyDescent="0.2">
      <c r="A125" s="39"/>
    </row>
    <row r="126" spans="1:1" ht="24" hidden="1" customHeight="1" x14ac:dyDescent="0.2">
      <c r="A126" s="39"/>
    </row>
    <row r="127" spans="1:1" ht="24" hidden="1" customHeight="1" x14ac:dyDescent="0.2">
      <c r="A127" s="39"/>
    </row>
    <row r="128" spans="1:1" ht="24" hidden="1" customHeight="1" x14ac:dyDescent="0.2">
      <c r="A128" s="39"/>
    </row>
    <row r="129" spans="1:1" ht="24" hidden="1" customHeight="1" x14ac:dyDescent="0.2">
      <c r="A129" s="39"/>
    </row>
    <row r="130" spans="1:1" ht="24" hidden="1" customHeight="1" x14ac:dyDescent="0.2">
      <c r="A130" s="39"/>
    </row>
    <row r="131" spans="1:1" ht="24" hidden="1" customHeight="1" x14ac:dyDescent="0.2">
      <c r="A131" s="39"/>
    </row>
    <row r="132" spans="1:1" ht="24" hidden="1" customHeight="1" x14ac:dyDescent="0.2">
      <c r="A132" s="39"/>
    </row>
    <row r="133" spans="1:1" ht="24" hidden="1" customHeight="1" x14ac:dyDescent="0.2">
      <c r="A133" s="39"/>
    </row>
    <row r="134" spans="1:1" ht="24" hidden="1" customHeight="1" x14ac:dyDescent="0.2">
      <c r="A134" s="39"/>
    </row>
    <row r="135" spans="1:1" ht="24" hidden="1" customHeight="1" x14ac:dyDescent="0.2">
      <c r="A135" s="39"/>
    </row>
    <row r="136" spans="1:1" ht="24" hidden="1" customHeight="1" x14ac:dyDescent="0.2">
      <c r="A136" s="39"/>
    </row>
    <row r="137" spans="1:1" ht="24" hidden="1" customHeight="1" x14ac:dyDescent="0.2">
      <c r="A137" s="39"/>
    </row>
    <row r="138" spans="1:1" ht="24" hidden="1" customHeight="1" x14ac:dyDescent="0.2">
      <c r="A138" s="39"/>
    </row>
    <row r="139" spans="1:1" ht="24" hidden="1" customHeight="1" x14ac:dyDescent="0.2">
      <c r="A139" s="39"/>
    </row>
    <row r="140" spans="1:1" ht="24" hidden="1" customHeight="1" x14ac:dyDescent="0.2">
      <c r="A140" s="39"/>
    </row>
    <row r="141" spans="1:1" ht="24" hidden="1" customHeight="1" x14ac:dyDescent="0.2">
      <c r="A141" s="39"/>
    </row>
    <row r="142" spans="1:1" ht="24" hidden="1" customHeight="1" x14ac:dyDescent="0.2">
      <c r="A142" s="39"/>
    </row>
    <row r="143" spans="1:1" ht="24" hidden="1" customHeight="1" x14ac:dyDescent="0.2">
      <c r="A143" s="39"/>
    </row>
    <row r="144" spans="1:1" ht="24" hidden="1" customHeight="1" x14ac:dyDescent="0.2">
      <c r="A144" s="39"/>
    </row>
    <row r="145" spans="1:1" ht="24" hidden="1" customHeight="1" x14ac:dyDescent="0.2">
      <c r="A145" s="39"/>
    </row>
    <row r="146" spans="1:1" ht="24" hidden="1" customHeight="1" x14ac:dyDescent="0.2">
      <c r="A146" s="39"/>
    </row>
    <row r="147" spans="1:1" ht="24" hidden="1" customHeight="1" x14ac:dyDescent="0.2">
      <c r="A147" s="39"/>
    </row>
    <row r="148" spans="1:1" ht="24" hidden="1" customHeight="1" x14ac:dyDescent="0.2">
      <c r="A148" s="39"/>
    </row>
    <row r="149" spans="1:1" ht="24" hidden="1" customHeight="1" x14ac:dyDescent="0.2">
      <c r="A149" s="39"/>
    </row>
    <row r="150" spans="1:1" ht="24" hidden="1" customHeight="1" x14ac:dyDescent="0.2">
      <c r="A150" s="39"/>
    </row>
    <row r="151" spans="1:1" ht="24" hidden="1" customHeight="1" x14ac:dyDescent="0.2">
      <c r="A151" s="39"/>
    </row>
    <row r="152" spans="1:1" ht="24" hidden="1" customHeight="1" x14ac:dyDescent="0.2">
      <c r="A152" s="39"/>
    </row>
    <row r="153" spans="1:1" ht="24" hidden="1" customHeight="1" x14ac:dyDescent="0.2">
      <c r="A153" s="39"/>
    </row>
    <row r="154" spans="1:1" ht="24" hidden="1" customHeight="1" x14ac:dyDescent="0.2">
      <c r="A154" s="39"/>
    </row>
    <row r="155" spans="1:1" ht="24" hidden="1" customHeight="1" x14ac:dyDescent="0.2">
      <c r="A155" s="39"/>
    </row>
    <row r="156" spans="1:1" ht="24" hidden="1" customHeight="1" x14ac:dyDescent="0.2">
      <c r="A156" s="39"/>
    </row>
    <row r="157" spans="1:1" ht="24" hidden="1" customHeight="1" x14ac:dyDescent="0.2">
      <c r="A157" s="39"/>
    </row>
    <row r="158" spans="1:1" ht="24" hidden="1" customHeight="1" x14ac:dyDescent="0.2">
      <c r="A158" s="39"/>
    </row>
    <row r="159" spans="1:1" ht="24" hidden="1" customHeight="1" x14ac:dyDescent="0.2">
      <c r="A159" s="39"/>
    </row>
    <row r="160" spans="1:1" ht="24" hidden="1" customHeight="1" x14ac:dyDescent="0.2">
      <c r="A160" s="39"/>
    </row>
    <row r="161" spans="1:1" ht="24" hidden="1" customHeight="1" x14ac:dyDescent="0.2">
      <c r="A161" s="39"/>
    </row>
    <row r="162" spans="1:1" ht="24" hidden="1" customHeight="1" x14ac:dyDescent="0.2">
      <c r="A162" s="39"/>
    </row>
    <row r="163" spans="1:1" ht="24" hidden="1" customHeight="1" x14ac:dyDescent="0.2">
      <c r="A163" s="39"/>
    </row>
    <row r="164" spans="1:1" ht="24" hidden="1" customHeight="1" x14ac:dyDescent="0.2">
      <c r="A164" s="39"/>
    </row>
    <row r="165" spans="1:1" ht="24" hidden="1" customHeight="1" x14ac:dyDescent="0.2">
      <c r="A165" s="39"/>
    </row>
    <row r="166" spans="1:1" ht="24" hidden="1" customHeight="1" x14ac:dyDescent="0.2">
      <c r="A166" s="39"/>
    </row>
    <row r="167" spans="1:1" ht="24" hidden="1" customHeight="1" x14ac:dyDescent="0.2">
      <c r="A167" s="39"/>
    </row>
    <row r="168" spans="1:1" ht="24" hidden="1" customHeight="1" x14ac:dyDescent="0.2">
      <c r="A168" s="39"/>
    </row>
    <row r="169" spans="1:1" ht="24" hidden="1" customHeight="1" x14ac:dyDescent="0.2">
      <c r="A169" s="39"/>
    </row>
    <row r="170" spans="1:1" ht="24" hidden="1" customHeight="1" x14ac:dyDescent="0.2">
      <c r="A170" s="39"/>
    </row>
    <row r="171" spans="1:1" ht="24" hidden="1" customHeight="1" x14ac:dyDescent="0.2">
      <c r="A171" s="39"/>
    </row>
    <row r="172" spans="1:1" ht="24" hidden="1" customHeight="1" x14ac:dyDescent="0.2">
      <c r="A172" s="39"/>
    </row>
    <row r="173" spans="1:1" ht="24" hidden="1" customHeight="1" x14ac:dyDescent="0.2">
      <c r="A173" s="39"/>
    </row>
    <row r="174" spans="1:1" ht="24" hidden="1" customHeight="1" x14ac:dyDescent="0.2">
      <c r="A174" s="39"/>
    </row>
    <row r="175" spans="1:1" ht="24" hidden="1" customHeight="1" x14ac:dyDescent="0.2">
      <c r="A175" s="39"/>
    </row>
    <row r="176" spans="1:1" ht="24" hidden="1" customHeight="1" x14ac:dyDescent="0.2">
      <c r="A176" s="39"/>
    </row>
    <row r="177" spans="1:1" ht="24" hidden="1" customHeight="1" x14ac:dyDescent="0.2">
      <c r="A177" s="39"/>
    </row>
    <row r="178" spans="1:1" ht="24" hidden="1" customHeight="1" x14ac:dyDescent="0.2">
      <c r="A178" s="39"/>
    </row>
    <row r="179" spans="1:1" ht="24" hidden="1" customHeight="1" x14ac:dyDescent="0.2">
      <c r="A179" s="39"/>
    </row>
    <row r="180" spans="1:1" ht="24" hidden="1" customHeight="1" x14ac:dyDescent="0.2">
      <c r="A180" s="39"/>
    </row>
    <row r="181" spans="1:1" ht="24" hidden="1" customHeight="1" x14ac:dyDescent="0.2">
      <c r="A181" s="39"/>
    </row>
    <row r="182" spans="1:1" ht="24" hidden="1" customHeight="1" x14ac:dyDescent="0.2">
      <c r="A182" s="39"/>
    </row>
    <row r="183" spans="1:1" ht="24" hidden="1" customHeight="1" x14ac:dyDescent="0.2">
      <c r="A183" s="39"/>
    </row>
    <row r="184" spans="1:1" ht="24" hidden="1" customHeight="1" x14ac:dyDescent="0.2">
      <c r="A184" s="39"/>
    </row>
    <row r="185" spans="1:1" ht="24" hidden="1" customHeight="1" x14ac:dyDescent="0.2">
      <c r="A185" s="39"/>
    </row>
    <row r="186" spans="1:1" ht="24" hidden="1" customHeight="1" x14ac:dyDescent="0.2">
      <c r="A186" s="39"/>
    </row>
    <row r="187" spans="1:1" ht="24" hidden="1" customHeight="1" x14ac:dyDescent="0.2">
      <c r="A187" s="39"/>
    </row>
    <row r="188" spans="1:1" ht="24" hidden="1" customHeight="1" x14ac:dyDescent="0.2">
      <c r="A188" s="39"/>
    </row>
    <row r="189" spans="1:1" ht="24" hidden="1" customHeight="1" x14ac:dyDescent="0.2">
      <c r="A189" s="39"/>
    </row>
    <row r="190" spans="1:1" ht="24" hidden="1" customHeight="1" x14ac:dyDescent="0.2">
      <c r="A190" s="39"/>
    </row>
    <row r="191" spans="1:1" ht="24" hidden="1" customHeight="1" x14ac:dyDescent="0.2">
      <c r="A191" s="39"/>
    </row>
    <row r="192" spans="1:1" ht="24" hidden="1" customHeight="1" x14ac:dyDescent="0.2">
      <c r="A192" s="39"/>
    </row>
    <row r="193" spans="1:1" ht="24" hidden="1" customHeight="1" x14ac:dyDescent="0.2">
      <c r="A193" s="39"/>
    </row>
    <row r="194" spans="1:1" ht="24" hidden="1" customHeight="1" x14ac:dyDescent="0.2">
      <c r="A194" s="39"/>
    </row>
    <row r="195" spans="1:1" ht="24" hidden="1" customHeight="1" x14ac:dyDescent="0.2">
      <c r="A195" s="39"/>
    </row>
    <row r="196" spans="1:1" ht="24" hidden="1" customHeight="1" x14ac:dyDescent="0.2">
      <c r="A196" s="39"/>
    </row>
    <row r="197" spans="1:1" ht="24" hidden="1" customHeight="1" x14ac:dyDescent="0.2">
      <c r="A197" s="39"/>
    </row>
    <row r="198" spans="1:1" ht="24" hidden="1" customHeight="1" x14ac:dyDescent="0.2">
      <c r="A198" s="39"/>
    </row>
    <row r="199" spans="1:1" ht="24" hidden="1" customHeight="1" x14ac:dyDescent="0.2">
      <c r="A199" s="39"/>
    </row>
    <row r="200" spans="1:1" ht="24" hidden="1" customHeight="1" x14ac:dyDescent="0.2">
      <c r="A200" s="39"/>
    </row>
    <row r="201" spans="1:1" ht="24" hidden="1" customHeight="1" x14ac:dyDescent="0.2">
      <c r="A201" s="39"/>
    </row>
    <row r="202" spans="1:1" ht="24" hidden="1" customHeight="1" x14ac:dyDescent="0.2">
      <c r="A202" s="39"/>
    </row>
    <row r="203" spans="1:1" ht="24" hidden="1" customHeight="1" x14ac:dyDescent="0.2">
      <c r="A203" s="39"/>
    </row>
    <row r="204" spans="1:1" ht="24" hidden="1" customHeight="1" x14ac:dyDescent="0.2">
      <c r="A204" s="39"/>
    </row>
    <row r="205" spans="1:1" ht="24" hidden="1" customHeight="1" x14ac:dyDescent="0.2">
      <c r="A205" s="39"/>
    </row>
    <row r="206" spans="1:1" ht="24" hidden="1" customHeight="1" x14ac:dyDescent="0.2">
      <c r="A206" s="39"/>
    </row>
    <row r="207" spans="1:1" ht="24" hidden="1" customHeight="1" x14ac:dyDescent="0.2">
      <c r="A207" s="39"/>
    </row>
    <row r="208" spans="1:1" ht="24" hidden="1" customHeight="1" x14ac:dyDescent="0.2">
      <c r="A208" s="39"/>
    </row>
    <row r="209" spans="1:1" ht="24" hidden="1" customHeight="1" x14ac:dyDescent="0.2">
      <c r="A209" s="39"/>
    </row>
    <row r="210" spans="1:1" ht="24" hidden="1" customHeight="1" x14ac:dyDescent="0.2">
      <c r="A210" s="39"/>
    </row>
    <row r="211" spans="1:1" ht="24" hidden="1" customHeight="1" x14ac:dyDescent="0.2">
      <c r="A211" s="39"/>
    </row>
    <row r="212" spans="1:1" ht="24" hidden="1" customHeight="1" x14ac:dyDescent="0.2">
      <c r="A212" s="39"/>
    </row>
    <row r="213" spans="1:1" ht="24" hidden="1" customHeight="1" x14ac:dyDescent="0.2">
      <c r="A213" s="39"/>
    </row>
    <row r="214" spans="1:1" ht="24" hidden="1" customHeight="1" x14ac:dyDescent="0.2">
      <c r="A214" s="39"/>
    </row>
    <row r="215" spans="1:1" ht="24" hidden="1" customHeight="1" x14ac:dyDescent="0.2">
      <c r="A215" s="39"/>
    </row>
    <row r="216" spans="1:1" ht="24" hidden="1" customHeight="1" x14ac:dyDescent="0.2">
      <c r="A216" s="39"/>
    </row>
    <row r="217" spans="1:1" ht="24" hidden="1" customHeight="1" x14ac:dyDescent="0.2">
      <c r="A217" s="39"/>
    </row>
    <row r="218" spans="1:1" ht="24" hidden="1" customHeight="1" x14ac:dyDescent="0.2">
      <c r="A218" s="39"/>
    </row>
    <row r="219" spans="1:1" ht="24" hidden="1" customHeight="1" x14ac:dyDescent="0.2">
      <c r="A219" s="39"/>
    </row>
    <row r="220" spans="1:1" ht="24" hidden="1" customHeight="1" x14ac:dyDescent="0.2"/>
    <row r="221" spans="1:1" ht="24" hidden="1" customHeight="1" x14ac:dyDescent="0.2"/>
    <row r="222" spans="1:1" ht="24" hidden="1" customHeight="1" x14ac:dyDescent="0.2"/>
    <row r="223" spans="1:1" ht="24" hidden="1" customHeight="1" x14ac:dyDescent="0.2"/>
    <row r="224" spans="1:1" ht="24" hidden="1" customHeight="1" x14ac:dyDescent="0.2"/>
    <row r="225" ht="24" hidden="1" customHeight="1" x14ac:dyDescent="0.2"/>
    <row r="226" ht="24" hidden="1" customHeight="1" x14ac:dyDescent="0.2"/>
    <row r="227" ht="24" hidden="1" customHeight="1" x14ac:dyDescent="0.2"/>
    <row r="228" ht="24" hidden="1" customHeight="1" x14ac:dyDescent="0.2"/>
    <row r="229" ht="24" hidden="1" customHeight="1" x14ac:dyDescent="0.2"/>
  </sheetData>
  <mergeCells count="3">
    <mergeCell ref="A1:A6"/>
    <mergeCell ref="E2:H3"/>
    <mergeCell ref="I2:L3"/>
  </mergeCells>
  <dataValidations count="5">
    <dataValidation type="list" allowBlank="1" showInputMessage="1" showErrorMessage="1" sqref="D11:D13" xr:uid="{00000000-0002-0000-0200-000000000000}">
      <formula1>"SIM,NÃO"</formula1>
    </dataValidation>
    <dataValidation type="list" sqref="E14" xr:uid="{00000000-0002-0000-0200-000001000000}">
      <formula1>"Solteiro(a),Casado(a),Divorciado(a),Viúvo(a),União estável,Separado(a)"</formula1>
    </dataValidation>
    <dataValidation type="list" sqref="J19 E17:E18" xr:uid="{00000000-0002-0000-0200-000002000000}">
      <formula1>"Sim,Não"</formula1>
    </dataValidation>
    <dataValidation type="list" sqref="J14" xr:uid="{00000000-0002-0000-0200-000005000000}">
      <formula1>"AC,AL,AP,AM,BA,CE,DF,ES,GO,MA,MT,MS,MG,PA,PB,PR,PE,PI,RJ,RN,RS,RO,RR,SC,SP,SE,TO"</formula1>
    </dataValidation>
    <dataValidation type="list" sqref="D26:D34" xr:uid="{00000000-0002-0000-0200-000006000000}">
      <formula1>"Filho(a),Cônjuge,Pai / mãe,Irmão(ã),Outro vínculo"</formula1>
    </dataValidation>
  </dataValidations>
  <hyperlinks>
    <hyperlink ref="D10" r:id="rId1" display="mailto:felipe@dio.me?subject=Oi,%20precisamos%20falar%20sobre%20sua%20declaração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30"/>
  <sheetViews>
    <sheetView showGridLines="0" workbookViewId="0">
      <pane ySplit="15" topLeftCell="A16" activePane="bottomLeft" state="frozen"/>
      <selection pane="bottomLeft" activeCell="B24" sqref="B24"/>
    </sheetView>
  </sheetViews>
  <sheetFormatPr baseColWidth="10" defaultColWidth="8.83203125" defaultRowHeight="15" x14ac:dyDescent="0.2"/>
  <cols>
    <col min="1" max="1" width="27" style="1" customWidth="1"/>
    <col min="2" max="2" width="18" customWidth="1"/>
    <col min="3" max="3" width="17" customWidth="1"/>
    <col min="4" max="4" width="19" customWidth="1"/>
    <col min="5" max="5" width="22" customWidth="1"/>
    <col min="6" max="6" width="17" customWidth="1"/>
    <col min="7" max="7" width="19" customWidth="1"/>
    <col min="8" max="8" width="17" customWidth="1"/>
    <col min="9" max="9" width="18" customWidth="1"/>
    <col min="10" max="11" width="17" customWidth="1"/>
    <col min="12" max="12" width="21" customWidth="1"/>
    <col min="13" max="13" width="3" customWidth="1"/>
  </cols>
  <sheetData>
    <row r="1" spans="1:13" ht="17" customHeight="1" x14ac:dyDescent="0.2">
      <c r="A1" s="54" t="e" vm="1">
        <v>#VALUE!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">
      <c r="A2" s="54"/>
      <c r="B2" s="41"/>
      <c r="C2" s="41"/>
      <c r="D2" s="41"/>
      <c r="E2" s="46" t="s">
        <v>50</v>
      </c>
      <c r="F2" s="47"/>
      <c r="G2" s="47"/>
      <c r="H2" s="47"/>
      <c r="I2" s="48" t="s">
        <v>51</v>
      </c>
      <c r="J2" s="49"/>
      <c r="K2" s="49"/>
      <c r="L2" s="49"/>
      <c r="M2" s="3"/>
    </row>
    <row r="3" spans="1:13" x14ac:dyDescent="0.2">
      <c r="A3" s="54"/>
      <c r="B3" s="41"/>
      <c r="C3" s="41"/>
      <c r="D3" s="41"/>
      <c r="E3" s="47"/>
      <c r="F3" s="47"/>
      <c r="G3" s="47"/>
      <c r="H3" s="47"/>
      <c r="I3" s="49"/>
      <c r="J3" s="49"/>
      <c r="K3" s="49"/>
      <c r="L3" s="49"/>
      <c r="M3" s="3"/>
    </row>
    <row r="4" spans="1:13" ht="22" customHeight="1" x14ac:dyDescent="0.2">
      <c r="A4" s="54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3"/>
    </row>
    <row r="5" spans="1:13" ht="12" customHeight="1" x14ac:dyDescent="0.2">
      <c r="A5" s="54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3"/>
    </row>
    <row r="6" spans="1:13" ht="26" customHeight="1" x14ac:dyDescent="0.2">
      <c r="A6" s="54"/>
      <c r="B6" s="5" t="s">
        <v>116</v>
      </c>
      <c r="C6" s="5"/>
      <c r="D6" s="5"/>
      <c r="E6" s="5"/>
      <c r="F6" s="5"/>
      <c r="G6" s="5"/>
      <c r="H6" s="5"/>
      <c r="I6" s="5"/>
      <c r="J6" s="5"/>
      <c r="K6" s="5"/>
      <c r="L6" s="5"/>
      <c r="M6" s="2"/>
    </row>
    <row r="7" spans="1:13" ht="26" customHeight="1" x14ac:dyDescent="0.2">
      <c r="A7" s="40" t="s">
        <v>52</v>
      </c>
      <c r="B7" s="58" t="s">
        <v>117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2"/>
    </row>
    <row r="8" spans="1:13" ht="10" customHeight="1" x14ac:dyDescent="0.2">
      <c r="A8" s="39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2">
      <c r="A9" s="45" t="str">
        <f>IFERROR(HYPERLINK("#'Início'!B10","INÍCIO"),"INÍCIO")</f>
        <v>INÍCIO</v>
      </c>
      <c r="B9" s="19" t="s">
        <v>118</v>
      </c>
      <c r="C9" s="19"/>
      <c r="D9" s="19"/>
      <c r="E9" s="19"/>
      <c r="F9" s="19"/>
      <c r="G9" s="19"/>
      <c r="H9" s="19"/>
      <c r="I9" s="19"/>
      <c r="J9" s="19" t="s">
        <v>119</v>
      </c>
      <c r="K9" s="19"/>
      <c r="L9" s="19"/>
      <c r="M9" s="2"/>
    </row>
    <row r="10" spans="1:13" x14ac:dyDescent="0.2">
      <c r="A10" s="39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24" customHeight="1" x14ac:dyDescent="0.2">
      <c r="A11" s="39"/>
      <c r="B11" s="21" t="s">
        <v>120</v>
      </c>
      <c r="C11" s="21" t="s">
        <v>121</v>
      </c>
      <c r="D11" s="21" t="s">
        <v>122</v>
      </c>
      <c r="E11" s="21" t="s">
        <v>123</v>
      </c>
      <c r="F11" s="21" t="s">
        <v>124</v>
      </c>
      <c r="G11" s="21" t="s">
        <v>125</v>
      </c>
      <c r="H11" s="21" t="s">
        <v>126</v>
      </c>
      <c r="I11" s="21" t="s">
        <v>127</v>
      </c>
      <c r="J11" s="9">
        <f>Início!L10</f>
        <v>2025</v>
      </c>
      <c r="K11" s="9"/>
      <c r="L11" s="9"/>
      <c r="M11" s="2"/>
    </row>
    <row r="12" spans="1:13" ht="30" customHeight="1" x14ac:dyDescent="0.2">
      <c r="A12" s="45" t="str">
        <f>IFERROR(HYPERLINK("#'Transações'!B10","TRANSAÇÕES"),"TRANSAÇÕES")</f>
        <v>TRANSAÇÕES</v>
      </c>
      <c r="B12" s="6" t="s">
        <v>8</v>
      </c>
      <c r="C12" s="6" t="s">
        <v>181</v>
      </c>
      <c r="D12" s="6" t="s">
        <v>219</v>
      </c>
      <c r="E12" s="31">
        <v>2025</v>
      </c>
      <c r="F12" s="24">
        <v>10000</v>
      </c>
      <c r="G12" s="24">
        <v>1213</v>
      </c>
      <c r="H12" s="6"/>
      <c r="I12" s="6" t="s">
        <v>168</v>
      </c>
      <c r="J12" s="9"/>
      <c r="K12" s="9"/>
      <c r="L12" s="9"/>
      <c r="M12" s="2"/>
    </row>
    <row r="13" spans="1:13" ht="10" customHeight="1" x14ac:dyDescent="0.2">
      <c r="A13" s="39"/>
      <c r="B13" s="6"/>
      <c r="C13" s="6"/>
      <c r="D13" s="6"/>
      <c r="E13" s="31"/>
      <c r="F13" s="24"/>
      <c r="G13" s="24"/>
      <c r="H13" s="6"/>
      <c r="I13" s="6"/>
      <c r="J13" s="9"/>
      <c r="K13" s="9"/>
      <c r="L13" s="9"/>
      <c r="M13" s="2"/>
    </row>
    <row r="14" spans="1:13" ht="24" customHeight="1" x14ac:dyDescent="0.2">
      <c r="A14" s="39"/>
      <c r="B14" s="6"/>
      <c r="C14" s="6"/>
      <c r="D14" s="6"/>
      <c r="E14" s="31"/>
      <c r="F14" s="24"/>
      <c r="G14" s="24"/>
      <c r="H14" s="6"/>
      <c r="I14" s="6"/>
      <c r="J14" s="2"/>
      <c r="K14" s="2"/>
      <c r="L14" s="2"/>
      <c r="M14" s="2"/>
    </row>
    <row r="15" spans="1:13" ht="30" customHeight="1" x14ac:dyDescent="0.2">
      <c r="A15" s="45" t="str">
        <f>IFERROR(HYPERLINK("#'Dados Pessoais'!B10","DADOS PESSOAIS"),"DADOS PESSOAIS")</f>
        <v>DADOS PESSOAIS</v>
      </c>
      <c r="B15" s="6"/>
      <c r="C15" s="6"/>
      <c r="D15" s="6"/>
      <c r="E15" s="31"/>
      <c r="F15" s="24"/>
      <c r="G15" s="24"/>
      <c r="H15" s="6"/>
      <c r="I15" s="6"/>
      <c r="J15" s="2"/>
      <c r="K15" s="2"/>
      <c r="L15" s="2"/>
      <c r="M15" s="2"/>
    </row>
    <row r="16" spans="1:13" ht="10" customHeight="1" x14ac:dyDescent="0.2">
      <c r="A16" s="39"/>
      <c r="B16" s="6"/>
      <c r="C16" s="6"/>
      <c r="D16" s="6"/>
      <c r="E16" s="31"/>
      <c r="F16" s="24"/>
      <c r="G16" s="24"/>
      <c r="H16" s="6"/>
      <c r="I16" s="6"/>
      <c r="J16" s="70" t="s">
        <v>128</v>
      </c>
      <c r="K16" s="70"/>
      <c r="L16" s="70"/>
      <c r="M16" s="2"/>
    </row>
    <row r="17" spans="1:13" ht="24" customHeight="1" x14ac:dyDescent="0.2">
      <c r="A17" s="39"/>
      <c r="B17" s="6"/>
      <c r="C17" s="6"/>
      <c r="D17" s="6"/>
      <c r="E17" s="31"/>
      <c r="F17" s="24"/>
      <c r="G17" s="24"/>
      <c r="H17" s="6"/>
      <c r="I17" s="6"/>
      <c r="J17" s="70"/>
      <c r="K17" s="70"/>
      <c r="L17" s="70"/>
      <c r="M17" s="2"/>
    </row>
    <row r="18" spans="1:13" ht="30" customHeight="1" x14ac:dyDescent="0.2">
      <c r="A18" s="42" t="str">
        <f>IFERROR(HYPERLINK("#'INFORMES'!B10","INFORMES"),"INFORMES")</f>
        <v>INFORMES</v>
      </c>
      <c r="B18" s="6"/>
      <c r="C18" s="6"/>
      <c r="D18" s="6"/>
      <c r="E18" s="31"/>
      <c r="F18" s="24"/>
      <c r="G18" s="24"/>
      <c r="H18" s="6"/>
      <c r="I18" s="6"/>
      <c r="J18" s="70"/>
      <c r="K18" s="70"/>
      <c r="L18" s="70"/>
      <c r="M18" s="2"/>
    </row>
    <row r="19" spans="1:13" ht="10" customHeight="1" x14ac:dyDescent="0.2">
      <c r="A19" s="39"/>
      <c r="B19" s="6"/>
      <c r="C19" s="6"/>
      <c r="D19" s="6"/>
      <c r="E19" s="31"/>
      <c r="F19" s="24"/>
      <c r="G19" s="24"/>
      <c r="H19" s="6"/>
      <c r="I19" s="6"/>
      <c r="J19" s="70"/>
      <c r="K19" s="70"/>
      <c r="L19" s="70"/>
      <c r="M19" s="2"/>
    </row>
    <row r="20" spans="1:13" ht="24" customHeight="1" x14ac:dyDescent="0.2">
      <c r="A20" s="39"/>
      <c r="B20" s="6"/>
      <c r="C20" s="6"/>
      <c r="D20" s="6"/>
      <c r="E20" s="31"/>
      <c r="F20" s="24"/>
      <c r="G20" s="24"/>
      <c r="H20" s="6"/>
      <c r="I20" s="6"/>
      <c r="J20" s="70"/>
      <c r="K20" s="70"/>
      <c r="L20" s="70"/>
      <c r="M20" s="2"/>
    </row>
    <row r="21" spans="1:13" ht="30" customHeight="1" x14ac:dyDescent="0.2">
      <c r="A21" s="45" t="str">
        <f>IFERROR(HYPERLINK("#'Relatórios'!B10","RELATÓRIOS"),"RELATÓRIOS")</f>
        <v>RELATÓRIOS</v>
      </c>
      <c r="B21" s="6"/>
      <c r="C21" s="6"/>
      <c r="D21" s="6"/>
      <c r="E21" s="31"/>
      <c r="F21" s="24"/>
      <c r="G21" s="24"/>
      <c r="H21" s="6"/>
      <c r="I21" s="6"/>
      <c r="J21" s="2"/>
      <c r="K21" s="2"/>
      <c r="L21" s="2"/>
      <c r="M21" s="2"/>
    </row>
    <row r="22" spans="1:13" ht="10" customHeight="1" x14ac:dyDescent="0.2">
      <c r="A22" s="39"/>
      <c r="B22" s="6"/>
      <c r="C22" s="6"/>
      <c r="D22" s="6"/>
      <c r="E22" s="31"/>
      <c r="F22" s="24"/>
      <c r="G22" s="24"/>
      <c r="H22" s="6"/>
      <c r="I22" s="6"/>
      <c r="J22" s="2"/>
      <c r="K22" s="2"/>
      <c r="L22" s="2"/>
      <c r="M22" s="2"/>
    </row>
    <row r="23" spans="1:13" ht="24" customHeight="1" x14ac:dyDescent="0.2">
      <c r="A23" s="39"/>
      <c r="B23" s="6"/>
      <c r="C23" s="6"/>
      <c r="D23" s="6"/>
      <c r="E23" s="31"/>
      <c r="F23" s="24"/>
      <c r="G23" s="24"/>
      <c r="H23" s="6"/>
      <c r="I23" s="6"/>
      <c r="J23" s="69" t="s">
        <v>129</v>
      </c>
      <c r="K23" s="69"/>
      <c r="L23" s="69"/>
      <c r="M23" s="2"/>
    </row>
    <row r="24" spans="1:13" ht="30" customHeight="1" x14ac:dyDescent="0.2">
      <c r="A24" s="39"/>
      <c r="B24" s="6"/>
      <c r="C24" s="6"/>
      <c r="D24" s="6"/>
      <c r="E24" s="31"/>
      <c r="F24" s="24"/>
      <c r="G24" s="24"/>
      <c r="H24" s="6"/>
      <c r="I24" s="6"/>
      <c r="J24" s="69"/>
      <c r="K24" s="69"/>
      <c r="L24" s="69"/>
      <c r="M24" s="2"/>
    </row>
    <row r="25" spans="1:13" ht="24" customHeight="1" x14ac:dyDescent="0.2">
      <c r="A25" s="39"/>
      <c r="B25" s="6"/>
      <c r="C25" s="6"/>
      <c r="D25" s="6"/>
      <c r="E25" s="31"/>
      <c r="F25" s="24"/>
      <c r="G25" s="24"/>
      <c r="H25" s="6"/>
      <c r="I25" s="6"/>
      <c r="J25" s="69"/>
      <c r="K25" s="69"/>
      <c r="L25" s="69"/>
      <c r="M25" s="2"/>
    </row>
    <row r="26" spans="1:13" ht="24" customHeight="1" x14ac:dyDescent="0.2">
      <c r="A26" s="39"/>
      <c r="B26" s="6"/>
      <c r="C26" s="6"/>
      <c r="D26" s="6"/>
      <c r="E26" s="31"/>
      <c r="F26" s="24"/>
      <c r="G26" s="24"/>
      <c r="H26" s="6"/>
      <c r="I26" s="6"/>
      <c r="J26" s="69"/>
      <c r="K26" s="69"/>
      <c r="L26" s="69"/>
      <c r="M26" s="2"/>
    </row>
    <row r="27" spans="1:13" ht="24" customHeight="1" x14ac:dyDescent="0.2">
      <c r="A27" s="39"/>
      <c r="B27" s="6"/>
      <c r="C27" s="6"/>
      <c r="D27" s="6"/>
      <c r="E27" s="31"/>
      <c r="F27" s="24"/>
      <c r="G27" s="24"/>
      <c r="H27" s="6"/>
      <c r="I27" s="6"/>
      <c r="J27" s="69"/>
      <c r="K27" s="69"/>
      <c r="L27" s="69"/>
      <c r="M27" s="2"/>
    </row>
    <row r="28" spans="1:13" ht="24" customHeight="1" x14ac:dyDescent="0.2">
      <c r="A28" s="39"/>
      <c r="B28" s="6"/>
      <c r="C28" s="6"/>
      <c r="D28" s="6"/>
      <c r="E28" s="31"/>
      <c r="F28" s="24"/>
      <c r="G28" s="24"/>
      <c r="H28" s="6"/>
      <c r="I28" s="6"/>
      <c r="J28" s="69"/>
      <c r="K28" s="69"/>
      <c r="L28" s="69"/>
      <c r="M28" s="2"/>
    </row>
    <row r="29" spans="1:13" ht="24" customHeight="1" x14ac:dyDescent="0.2">
      <c r="A29" s="43" t="s">
        <v>67</v>
      </c>
      <c r="B29" s="6"/>
      <c r="C29" s="6"/>
      <c r="D29" s="6"/>
      <c r="E29" s="31"/>
      <c r="F29" s="24"/>
      <c r="G29" s="24"/>
      <c r="H29" s="6"/>
      <c r="I29" s="6"/>
      <c r="J29" s="2"/>
      <c r="K29" s="2"/>
      <c r="L29" s="2"/>
      <c r="M29" s="2"/>
    </row>
    <row r="30" spans="1:13" ht="24" customHeight="1" x14ac:dyDescent="0.2">
      <c r="A30" s="44" t="s">
        <v>68</v>
      </c>
      <c r="B30" s="6"/>
      <c r="C30" s="6"/>
      <c r="D30" s="6"/>
      <c r="E30" s="31"/>
      <c r="F30" s="24"/>
      <c r="G30" s="24"/>
      <c r="H30" s="6"/>
      <c r="I30" s="6"/>
      <c r="J30" s="2"/>
      <c r="K30" s="2"/>
      <c r="L30" s="2"/>
      <c r="M30" s="2"/>
    </row>
    <row r="31" spans="1:13" ht="24" customHeight="1" x14ac:dyDescent="0.2">
      <c r="A31" s="39"/>
      <c r="B31" s="6"/>
      <c r="C31" s="6"/>
      <c r="D31" s="6"/>
      <c r="E31" s="31"/>
      <c r="F31" s="24"/>
      <c r="G31" s="24"/>
      <c r="H31" s="6"/>
      <c r="I31" s="6"/>
      <c r="J31" s="2"/>
      <c r="K31" s="2"/>
      <c r="L31" s="2"/>
      <c r="M31" s="2"/>
    </row>
    <row r="32" spans="1:13" ht="24" customHeight="1" x14ac:dyDescent="0.2">
      <c r="A32" s="39"/>
      <c r="B32" s="2"/>
      <c r="C32" s="2"/>
      <c r="D32" s="2"/>
      <c r="E32" s="2"/>
      <c r="F32" s="30"/>
      <c r="G32" s="30"/>
      <c r="H32" s="2"/>
      <c r="I32" s="2"/>
      <c r="J32" s="2"/>
      <c r="K32" s="2"/>
      <c r="L32" s="2"/>
      <c r="M32" s="2"/>
    </row>
    <row r="33" spans="1:13" ht="24" customHeight="1" x14ac:dyDescent="0.2">
      <c r="A33" s="39"/>
      <c r="B33" s="2"/>
      <c r="C33" s="2"/>
      <c r="D33" s="2"/>
      <c r="E33" s="2"/>
      <c r="F33" s="30"/>
      <c r="G33" s="30"/>
      <c r="H33" s="2"/>
      <c r="I33" s="2"/>
      <c r="J33" s="2"/>
      <c r="K33" s="2"/>
      <c r="L33" s="2"/>
      <c r="M33" s="2"/>
    </row>
    <row r="34" spans="1:13" ht="24" customHeight="1" x14ac:dyDescent="0.2">
      <c r="A34" s="39"/>
      <c r="B34" s="50" t="s">
        <v>130</v>
      </c>
      <c r="C34" s="50"/>
      <c r="D34" s="50"/>
      <c r="E34" s="50"/>
      <c r="F34" s="32">
        <f>SUM(F12:F31)</f>
        <v>10000</v>
      </c>
      <c r="G34" s="32">
        <f>SUM(G12:G31)</f>
        <v>1213</v>
      </c>
      <c r="H34" s="52" t="s">
        <v>131</v>
      </c>
      <c r="I34" s="52"/>
      <c r="J34" s="2"/>
      <c r="K34" s="2"/>
      <c r="L34" s="2"/>
      <c r="M34" s="2"/>
    </row>
    <row r="35" spans="1:13" ht="24" customHeight="1" x14ac:dyDescent="0.2">
      <c r="A35" s="3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24" customHeight="1" x14ac:dyDescent="0.2">
      <c r="A36" s="3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24" customHeight="1" x14ac:dyDescent="0.2">
      <c r="A37" s="39"/>
      <c r="M37" s="2"/>
    </row>
    <row r="38" spans="1:13" ht="28" customHeight="1" x14ac:dyDescent="0.2">
      <c r="A38" s="39"/>
      <c r="M38" s="2"/>
    </row>
    <row r="39" spans="1:13" ht="24" customHeight="1" x14ac:dyDescent="0.2">
      <c r="A39" s="39"/>
      <c r="M39" s="2"/>
    </row>
    <row r="40" spans="1:13" ht="24" customHeight="1" x14ac:dyDescent="0.2">
      <c r="A40" s="39"/>
      <c r="M40" s="2"/>
    </row>
    <row r="41" spans="1:13" ht="24" customHeight="1" x14ac:dyDescent="0.2">
      <c r="A41" s="3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24" customHeight="1" x14ac:dyDescent="0.2">
      <c r="A42" s="3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24" customHeight="1" x14ac:dyDescent="0.2">
      <c r="A43" s="3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24" customHeight="1" x14ac:dyDescent="0.2">
      <c r="A44" s="3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24" customHeight="1" x14ac:dyDescent="0.2">
      <c r="A45" s="3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24" customHeight="1" x14ac:dyDescent="0.2">
      <c r="A46" s="3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24" customHeight="1" x14ac:dyDescent="0.2">
      <c r="A47" s="3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24" customHeight="1" x14ac:dyDescent="0.2">
      <c r="A48" s="3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24" customHeight="1" x14ac:dyDescent="0.2">
      <c r="A49" s="3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24" customHeight="1" x14ac:dyDescent="0.2">
      <c r="A50" s="3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24" customHeight="1" x14ac:dyDescent="0.2">
      <c r="A51" s="3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24" customHeight="1" x14ac:dyDescent="0.2">
      <c r="A52" s="3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24" customHeight="1" x14ac:dyDescent="0.2">
      <c r="A53" s="3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24" customHeight="1" x14ac:dyDescent="0.2">
      <c r="A54" s="3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24" customHeight="1" x14ac:dyDescent="0.2">
      <c r="A55" s="3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24" customHeight="1" x14ac:dyDescent="0.2">
      <c r="A56" s="3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24" customHeight="1" x14ac:dyDescent="0.2">
      <c r="A57" s="3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24" customHeight="1" x14ac:dyDescent="0.2">
      <c r="A58" s="3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24" customHeight="1" x14ac:dyDescent="0.2">
      <c r="A59" s="3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24" customHeight="1" x14ac:dyDescent="0.2">
      <c r="A60" s="3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24" customHeight="1" x14ac:dyDescent="0.2">
      <c r="A61" s="3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24" customHeight="1" x14ac:dyDescent="0.2">
      <c r="A62" s="3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24" customHeight="1" x14ac:dyDescent="0.2">
      <c r="A63" s="3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24" customHeight="1" x14ac:dyDescent="0.2">
      <c r="A64" s="3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24" customHeight="1" x14ac:dyDescent="0.2">
      <c r="A65" s="3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24" customHeight="1" x14ac:dyDescent="0.2">
      <c r="A66" s="3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24" customHeight="1" x14ac:dyDescent="0.2">
      <c r="A67" s="3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24" customHeight="1" x14ac:dyDescent="0.2">
      <c r="A68" s="3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24" customHeight="1" x14ac:dyDescent="0.2">
      <c r="A69" s="3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24" customHeight="1" x14ac:dyDescent="0.2">
      <c r="A70" s="3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24" customHeight="1" x14ac:dyDescent="0.2">
      <c r="A71" s="3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24" customHeight="1" x14ac:dyDescent="0.2">
      <c r="A72" s="3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24" customHeight="1" x14ac:dyDescent="0.2">
      <c r="A73" s="3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24" customHeight="1" x14ac:dyDescent="0.2">
      <c r="A74" s="3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24" customHeight="1" x14ac:dyDescent="0.2">
      <c r="A75" s="3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24" customHeight="1" x14ac:dyDescent="0.2">
      <c r="A76" s="39"/>
    </row>
    <row r="77" spans="1:13" ht="24" customHeight="1" x14ac:dyDescent="0.2">
      <c r="A77" s="39"/>
    </row>
    <row r="78" spans="1:13" ht="24" customHeight="1" x14ac:dyDescent="0.2">
      <c r="A78" s="39"/>
    </row>
    <row r="79" spans="1:13" ht="24" customHeight="1" x14ac:dyDescent="0.2">
      <c r="A79" s="39"/>
    </row>
    <row r="80" spans="1:13" ht="24" customHeight="1" x14ac:dyDescent="0.2">
      <c r="A80" s="39"/>
    </row>
    <row r="81" spans="1:1" ht="24" customHeight="1" x14ac:dyDescent="0.2">
      <c r="A81" s="39"/>
    </row>
    <row r="82" spans="1:1" ht="24" customHeight="1" x14ac:dyDescent="0.2">
      <c r="A82" s="39"/>
    </row>
    <row r="83" spans="1:1" ht="24" customHeight="1" x14ac:dyDescent="0.2">
      <c r="A83" s="39"/>
    </row>
    <row r="84" spans="1:1" ht="24" customHeight="1" x14ac:dyDescent="0.2">
      <c r="A84" s="39"/>
    </row>
    <row r="85" spans="1:1" ht="24" customHeight="1" x14ac:dyDescent="0.2">
      <c r="A85" s="39"/>
    </row>
    <row r="86" spans="1:1" ht="24" customHeight="1" x14ac:dyDescent="0.2">
      <c r="A86" s="39"/>
    </row>
    <row r="87" spans="1:1" ht="24" customHeight="1" x14ac:dyDescent="0.2">
      <c r="A87" s="39"/>
    </row>
    <row r="88" spans="1:1" ht="24" customHeight="1" x14ac:dyDescent="0.2">
      <c r="A88" s="39"/>
    </row>
    <row r="89" spans="1:1" ht="24" customHeight="1" x14ac:dyDescent="0.2">
      <c r="A89" s="39"/>
    </row>
    <row r="90" spans="1:1" ht="24" customHeight="1" x14ac:dyDescent="0.2">
      <c r="A90" s="39"/>
    </row>
    <row r="91" spans="1:1" ht="24" customHeight="1" x14ac:dyDescent="0.2">
      <c r="A91" s="39"/>
    </row>
    <row r="92" spans="1:1" ht="24" customHeight="1" x14ac:dyDescent="0.2">
      <c r="A92" s="39"/>
    </row>
    <row r="93" spans="1:1" ht="24" customHeight="1" x14ac:dyDescent="0.2">
      <c r="A93" s="39"/>
    </row>
    <row r="94" spans="1:1" ht="24" customHeight="1" x14ac:dyDescent="0.2">
      <c r="A94" s="39"/>
    </row>
    <row r="95" spans="1:1" ht="24" customHeight="1" x14ac:dyDescent="0.2">
      <c r="A95" s="39"/>
    </row>
    <row r="96" spans="1:1" ht="24" customHeight="1" x14ac:dyDescent="0.2">
      <c r="A96" s="39"/>
    </row>
    <row r="97" spans="1:1" ht="24" customHeight="1" x14ac:dyDescent="0.2">
      <c r="A97" s="39"/>
    </row>
    <row r="98" spans="1:1" ht="24" customHeight="1" x14ac:dyDescent="0.2">
      <c r="A98" s="39"/>
    </row>
    <row r="99" spans="1:1" ht="24" customHeight="1" x14ac:dyDescent="0.2">
      <c r="A99" s="39"/>
    </row>
    <row r="100" spans="1:1" ht="24" customHeight="1" x14ac:dyDescent="0.2">
      <c r="A100" s="39"/>
    </row>
    <row r="101" spans="1:1" ht="24" customHeight="1" x14ac:dyDescent="0.2">
      <c r="A101" s="39"/>
    </row>
    <row r="102" spans="1:1" ht="24" customHeight="1" x14ac:dyDescent="0.2">
      <c r="A102" s="39"/>
    </row>
    <row r="103" spans="1:1" ht="24" customHeight="1" x14ac:dyDescent="0.2">
      <c r="A103" s="39"/>
    </row>
    <row r="104" spans="1:1" ht="24" customHeight="1" x14ac:dyDescent="0.2">
      <c r="A104" s="39"/>
    </row>
    <row r="105" spans="1:1" ht="24" customHeight="1" x14ac:dyDescent="0.2">
      <c r="A105" s="39"/>
    </row>
    <row r="106" spans="1:1" ht="24" customHeight="1" x14ac:dyDescent="0.2">
      <c r="A106" s="39"/>
    </row>
    <row r="107" spans="1:1" ht="24" customHeight="1" x14ac:dyDescent="0.2">
      <c r="A107" s="39"/>
    </row>
    <row r="108" spans="1:1" ht="24" customHeight="1" x14ac:dyDescent="0.2">
      <c r="A108" s="39"/>
    </row>
    <row r="109" spans="1:1" ht="24" customHeight="1" x14ac:dyDescent="0.2">
      <c r="A109" s="39"/>
    </row>
    <row r="110" spans="1:1" ht="24" customHeight="1" x14ac:dyDescent="0.2">
      <c r="A110" s="39"/>
    </row>
    <row r="111" spans="1:1" ht="24" customHeight="1" x14ac:dyDescent="0.2">
      <c r="A111" s="39"/>
    </row>
    <row r="112" spans="1:1" ht="24" customHeight="1" x14ac:dyDescent="0.2">
      <c r="A112" s="39"/>
    </row>
    <row r="113" spans="1:1" ht="24" customHeight="1" x14ac:dyDescent="0.2">
      <c r="A113" s="39"/>
    </row>
    <row r="114" spans="1:1" ht="24" customHeight="1" x14ac:dyDescent="0.2">
      <c r="A114" s="39"/>
    </row>
    <row r="115" spans="1:1" ht="24" customHeight="1" x14ac:dyDescent="0.2">
      <c r="A115" s="39"/>
    </row>
    <row r="116" spans="1:1" ht="24" customHeight="1" x14ac:dyDescent="0.2">
      <c r="A116" s="39"/>
    </row>
    <row r="117" spans="1:1" ht="24" customHeight="1" x14ac:dyDescent="0.2">
      <c r="A117" s="39"/>
    </row>
    <row r="118" spans="1:1" ht="24" customHeight="1" x14ac:dyDescent="0.2">
      <c r="A118" s="39"/>
    </row>
    <row r="119" spans="1:1" ht="24" customHeight="1" x14ac:dyDescent="0.2">
      <c r="A119" s="39"/>
    </row>
    <row r="120" spans="1:1" ht="24" customHeight="1" x14ac:dyDescent="0.2">
      <c r="A120" s="39"/>
    </row>
    <row r="121" spans="1:1" ht="24" customHeight="1" x14ac:dyDescent="0.2">
      <c r="A121" s="39"/>
    </row>
    <row r="122" spans="1:1" ht="24" customHeight="1" x14ac:dyDescent="0.2">
      <c r="A122" s="39"/>
    </row>
    <row r="123" spans="1:1" ht="24" customHeight="1" x14ac:dyDescent="0.2">
      <c r="A123" s="39"/>
    </row>
    <row r="124" spans="1:1" ht="24" customHeight="1" x14ac:dyDescent="0.2">
      <c r="A124" s="39"/>
    </row>
    <row r="125" spans="1:1" ht="24" customHeight="1" x14ac:dyDescent="0.2">
      <c r="A125" s="39"/>
    </row>
    <row r="126" spans="1:1" ht="24" customHeight="1" x14ac:dyDescent="0.2">
      <c r="A126" s="39"/>
    </row>
    <row r="127" spans="1:1" ht="24" customHeight="1" x14ac:dyDescent="0.2">
      <c r="A127" s="39"/>
    </row>
    <row r="128" spans="1:1" ht="24" customHeight="1" x14ac:dyDescent="0.2">
      <c r="A128" s="39"/>
    </row>
    <row r="129" spans="1:1" ht="24" customHeight="1" x14ac:dyDescent="0.2">
      <c r="A129" s="39"/>
    </row>
    <row r="130" spans="1:1" ht="24" customHeight="1" x14ac:dyDescent="0.2">
      <c r="A130" s="39"/>
    </row>
    <row r="131" spans="1:1" ht="24" customHeight="1" x14ac:dyDescent="0.2">
      <c r="A131" s="39"/>
    </row>
    <row r="132" spans="1:1" ht="24" customHeight="1" x14ac:dyDescent="0.2">
      <c r="A132" s="39"/>
    </row>
    <row r="133" spans="1:1" ht="24" customHeight="1" x14ac:dyDescent="0.2">
      <c r="A133" s="39"/>
    </row>
    <row r="134" spans="1:1" ht="24" customHeight="1" x14ac:dyDescent="0.2">
      <c r="A134" s="39"/>
    </row>
    <row r="135" spans="1:1" ht="24" customHeight="1" x14ac:dyDescent="0.2">
      <c r="A135" s="39"/>
    </row>
    <row r="136" spans="1:1" ht="24" customHeight="1" x14ac:dyDescent="0.2">
      <c r="A136" s="39"/>
    </row>
    <row r="137" spans="1:1" ht="24" customHeight="1" x14ac:dyDescent="0.2">
      <c r="A137" s="39"/>
    </row>
    <row r="138" spans="1:1" ht="24" customHeight="1" x14ac:dyDescent="0.2">
      <c r="A138" s="39"/>
    </row>
    <row r="139" spans="1:1" ht="24" customHeight="1" x14ac:dyDescent="0.2">
      <c r="A139" s="39"/>
    </row>
    <row r="140" spans="1:1" ht="24" customHeight="1" x14ac:dyDescent="0.2">
      <c r="A140" s="39"/>
    </row>
    <row r="141" spans="1:1" ht="24" customHeight="1" x14ac:dyDescent="0.2">
      <c r="A141" s="39"/>
    </row>
    <row r="142" spans="1:1" ht="24" customHeight="1" x14ac:dyDescent="0.2">
      <c r="A142" s="39"/>
    </row>
    <row r="143" spans="1:1" ht="24" customHeight="1" x14ac:dyDescent="0.2">
      <c r="A143" s="39"/>
    </row>
    <row r="144" spans="1:1" ht="24" customHeight="1" x14ac:dyDescent="0.2">
      <c r="A144" s="39"/>
    </row>
    <row r="145" spans="1:1" ht="24" customHeight="1" x14ac:dyDescent="0.2">
      <c r="A145" s="39"/>
    </row>
    <row r="146" spans="1:1" ht="24" customHeight="1" x14ac:dyDescent="0.2">
      <c r="A146" s="39"/>
    </row>
    <row r="147" spans="1:1" ht="24" customHeight="1" x14ac:dyDescent="0.2">
      <c r="A147" s="39"/>
    </row>
    <row r="148" spans="1:1" ht="24" customHeight="1" x14ac:dyDescent="0.2">
      <c r="A148" s="39"/>
    </row>
    <row r="149" spans="1:1" ht="24" customHeight="1" x14ac:dyDescent="0.2">
      <c r="A149" s="39"/>
    </row>
    <row r="150" spans="1:1" ht="24" customHeight="1" x14ac:dyDescent="0.2">
      <c r="A150" s="39"/>
    </row>
    <row r="151" spans="1:1" ht="24" customHeight="1" x14ac:dyDescent="0.2">
      <c r="A151" s="39"/>
    </row>
    <row r="152" spans="1:1" ht="24" customHeight="1" x14ac:dyDescent="0.2">
      <c r="A152" s="39"/>
    </row>
    <row r="153" spans="1:1" ht="24" customHeight="1" x14ac:dyDescent="0.2">
      <c r="A153" s="39"/>
    </row>
    <row r="154" spans="1:1" ht="24" customHeight="1" x14ac:dyDescent="0.2">
      <c r="A154" s="39"/>
    </row>
    <row r="155" spans="1:1" ht="24" customHeight="1" x14ac:dyDescent="0.2">
      <c r="A155" s="39"/>
    </row>
    <row r="156" spans="1:1" ht="24" customHeight="1" x14ac:dyDescent="0.2">
      <c r="A156" s="39"/>
    </row>
    <row r="157" spans="1:1" ht="24" customHeight="1" x14ac:dyDescent="0.2">
      <c r="A157" s="39"/>
    </row>
    <row r="158" spans="1:1" ht="24" customHeight="1" x14ac:dyDescent="0.2">
      <c r="A158" s="39"/>
    </row>
    <row r="159" spans="1:1" ht="24" customHeight="1" x14ac:dyDescent="0.2">
      <c r="A159" s="39"/>
    </row>
    <row r="160" spans="1:1" ht="24" customHeight="1" x14ac:dyDescent="0.2">
      <c r="A160" s="39"/>
    </row>
    <row r="161" spans="1:1" ht="24" customHeight="1" x14ac:dyDescent="0.2">
      <c r="A161" s="39"/>
    </row>
    <row r="162" spans="1:1" ht="24" customHeight="1" x14ac:dyDescent="0.2">
      <c r="A162" s="39"/>
    </row>
    <row r="163" spans="1:1" ht="24" customHeight="1" x14ac:dyDescent="0.2">
      <c r="A163" s="39"/>
    </row>
    <row r="164" spans="1:1" ht="24" customHeight="1" x14ac:dyDescent="0.2">
      <c r="A164" s="39"/>
    </row>
    <row r="165" spans="1:1" ht="24" customHeight="1" x14ac:dyDescent="0.2">
      <c r="A165" s="39"/>
    </row>
    <row r="166" spans="1:1" ht="24" customHeight="1" x14ac:dyDescent="0.2">
      <c r="A166" s="39"/>
    </row>
    <row r="167" spans="1:1" ht="24" customHeight="1" x14ac:dyDescent="0.2">
      <c r="A167" s="39"/>
    </row>
    <row r="168" spans="1:1" ht="24" customHeight="1" x14ac:dyDescent="0.2">
      <c r="A168" s="39"/>
    </row>
    <row r="169" spans="1:1" ht="24" customHeight="1" x14ac:dyDescent="0.2">
      <c r="A169" s="39"/>
    </row>
    <row r="170" spans="1:1" ht="24" customHeight="1" x14ac:dyDescent="0.2">
      <c r="A170" s="39"/>
    </row>
    <row r="171" spans="1:1" ht="24" customHeight="1" x14ac:dyDescent="0.2">
      <c r="A171" s="39"/>
    </row>
    <row r="172" spans="1:1" ht="24" customHeight="1" x14ac:dyDescent="0.2">
      <c r="A172" s="39"/>
    </row>
    <row r="173" spans="1:1" ht="24" customHeight="1" x14ac:dyDescent="0.2">
      <c r="A173" s="39"/>
    </row>
    <row r="174" spans="1:1" ht="24" customHeight="1" x14ac:dyDescent="0.2">
      <c r="A174" s="39"/>
    </row>
    <row r="175" spans="1:1" ht="24" customHeight="1" x14ac:dyDescent="0.2">
      <c r="A175" s="39"/>
    </row>
    <row r="176" spans="1:1" ht="24" customHeight="1" x14ac:dyDescent="0.2">
      <c r="A176" s="39"/>
    </row>
    <row r="177" spans="1:1" ht="24" customHeight="1" x14ac:dyDescent="0.2">
      <c r="A177" s="39"/>
    </row>
    <row r="178" spans="1:1" ht="24" customHeight="1" x14ac:dyDescent="0.2">
      <c r="A178" s="39"/>
    </row>
    <row r="179" spans="1:1" ht="24" customHeight="1" x14ac:dyDescent="0.2">
      <c r="A179" s="39"/>
    </row>
    <row r="180" spans="1:1" ht="24" customHeight="1" x14ac:dyDescent="0.2">
      <c r="A180" s="39"/>
    </row>
    <row r="181" spans="1:1" ht="24" customHeight="1" x14ac:dyDescent="0.2">
      <c r="A181" s="39"/>
    </row>
    <row r="182" spans="1:1" ht="24" customHeight="1" x14ac:dyDescent="0.2">
      <c r="A182" s="39"/>
    </row>
    <row r="183" spans="1:1" ht="24" customHeight="1" x14ac:dyDescent="0.2">
      <c r="A183" s="39"/>
    </row>
    <row r="184" spans="1:1" ht="24" customHeight="1" x14ac:dyDescent="0.2">
      <c r="A184" s="39"/>
    </row>
    <row r="185" spans="1:1" ht="24" customHeight="1" x14ac:dyDescent="0.2">
      <c r="A185" s="39"/>
    </row>
    <row r="186" spans="1:1" ht="24" customHeight="1" x14ac:dyDescent="0.2">
      <c r="A186" s="39"/>
    </row>
    <row r="187" spans="1:1" ht="24" customHeight="1" x14ac:dyDescent="0.2">
      <c r="A187" s="39"/>
    </row>
    <row r="188" spans="1:1" ht="24" customHeight="1" x14ac:dyDescent="0.2">
      <c r="A188" s="39"/>
    </row>
    <row r="189" spans="1:1" ht="24" customHeight="1" x14ac:dyDescent="0.2">
      <c r="A189" s="39"/>
    </row>
    <row r="190" spans="1:1" ht="24" customHeight="1" x14ac:dyDescent="0.2">
      <c r="A190" s="39"/>
    </row>
    <row r="191" spans="1:1" ht="24" customHeight="1" x14ac:dyDescent="0.2">
      <c r="A191" s="39"/>
    </row>
    <row r="192" spans="1:1" ht="24" customHeight="1" x14ac:dyDescent="0.2">
      <c r="A192" s="39"/>
    </row>
    <row r="193" spans="1:1" ht="24" customHeight="1" x14ac:dyDescent="0.2">
      <c r="A193" s="39"/>
    </row>
    <row r="194" spans="1:1" ht="24" customHeight="1" x14ac:dyDescent="0.2">
      <c r="A194" s="39"/>
    </row>
    <row r="195" spans="1:1" ht="24" customHeight="1" x14ac:dyDescent="0.2">
      <c r="A195" s="39"/>
    </row>
    <row r="196" spans="1:1" ht="24" customHeight="1" x14ac:dyDescent="0.2">
      <c r="A196" s="39"/>
    </row>
    <row r="197" spans="1:1" ht="24" customHeight="1" x14ac:dyDescent="0.2">
      <c r="A197" s="39"/>
    </row>
    <row r="198" spans="1:1" ht="24" customHeight="1" x14ac:dyDescent="0.2">
      <c r="A198" s="39"/>
    </row>
    <row r="199" spans="1:1" ht="24" customHeight="1" x14ac:dyDescent="0.2">
      <c r="A199" s="39"/>
    </row>
    <row r="200" spans="1:1" ht="24" customHeight="1" x14ac:dyDescent="0.2">
      <c r="A200" s="39"/>
    </row>
    <row r="201" spans="1:1" ht="24" customHeight="1" x14ac:dyDescent="0.2">
      <c r="A201" s="39"/>
    </row>
    <row r="202" spans="1:1" ht="24" customHeight="1" x14ac:dyDescent="0.2">
      <c r="A202" s="39"/>
    </row>
    <row r="203" spans="1:1" ht="24" customHeight="1" x14ac:dyDescent="0.2">
      <c r="A203" s="39"/>
    </row>
    <row r="204" spans="1:1" ht="24" customHeight="1" x14ac:dyDescent="0.2">
      <c r="A204" s="39"/>
    </row>
    <row r="205" spans="1:1" ht="24" customHeight="1" x14ac:dyDescent="0.2">
      <c r="A205" s="39"/>
    </row>
    <row r="206" spans="1:1" ht="24" customHeight="1" x14ac:dyDescent="0.2">
      <c r="A206" s="39"/>
    </row>
    <row r="207" spans="1:1" ht="24" customHeight="1" x14ac:dyDescent="0.2">
      <c r="A207" s="39"/>
    </row>
    <row r="208" spans="1:1" ht="24" customHeight="1" x14ac:dyDescent="0.2">
      <c r="A208" s="39"/>
    </row>
    <row r="209" spans="1:1" ht="24" customHeight="1" x14ac:dyDescent="0.2">
      <c r="A209" s="39"/>
    </row>
    <row r="210" spans="1:1" ht="24" customHeight="1" x14ac:dyDescent="0.2">
      <c r="A210" s="39"/>
    </row>
    <row r="211" spans="1:1" ht="24" customHeight="1" x14ac:dyDescent="0.2">
      <c r="A211" s="39"/>
    </row>
    <row r="212" spans="1:1" ht="24" customHeight="1" x14ac:dyDescent="0.2">
      <c r="A212" s="39"/>
    </row>
    <row r="213" spans="1:1" ht="24" customHeight="1" x14ac:dyDescent="0.2">
      <c r="A213" s="39"/>
    </row>
    <row r="214" spans="1:1" ht="24" customHeight="1" x14ac:dyDescent="0.2">
      <c r="A214" s="39"/>
    </row>
    <row r="215" spans="1:1" ht="24" customHeight="1" x14ac:dyDescent="0.2">
      <c r="A215" s="39"/>
    </row>
    <row r="216" spans="1:1" ht="24" customHeight="1" x14ac:dyDescent="0.2">
      <c r="A216" s="39"/>
    </row>
    <row r="217" spans="1:1" ht="24" customHeight="1" x14ac:dyDescent="0.2">
      <c r="A217" s="39"/>
    </row>
    <row r="218" spans="1:1" ht="24" customHeight="1" x14ac:dyDescent="0.2">
      <c r="A218" s="39"/>
    </row>
    <row r="219" spans="1:1" ht="24" customHeight="1" x14ac:dyDescent="0.2">
      <c r="A219" s="39"/>
    </row>
    <row r="220" spans="1:1" ht="24" customHeight="1" x14ac:dyDescent="0.2">
      <c r="A220" s="39"/>
    </row>
    <row r="221" spans="1:1" ht="24" customHeight="1" x14ac:dyDescent="0.2"/>
    <row r="222" spans="1:1" ht="24" customHeight="1" x14ac:dyDescent="0.2"/>
    <row r="223" spans="1:1" ht="24" customHeight="1" x14ac:dyDescent="0.2"/>
    <row r="224" spans="1:1" ht="24" customHeight="1" x14ac:dyDescent="0.2"/>
    <row r="225" ht="24" customHeight="1" x14ac:dyDescent="0.2"/>
    <row r="226" ht="24" customHeight="1" x14ac:dyDescent="0.2"/>
    <row r="227" ht="24" customHeight="1" x14ac:dyDescent="0.2"/>
    <row r="228" ht="24" customHeight="1" x14ac:dyDescent="0.2"/>
    <row r="229" ht="24" customHeight="1" x14ac:dyDescent="0.2"/>
    <row r="230" ht="24" customHeight="1" x14ac:dyDescent="0.2"/>
  </sheetData>
  <mergeCells count="7">
    <mergeCell ref="A1:A6"/>
    <mergeCell ref="J16:L20"/>
    <mergeCell ref="J23:L28"/>
    <mergeCell ref="B34:E34"/>
    <mergeCell ref="H34:I34"/>
    <mergeCell ref="E2:H3"/>
    <mergeCell ref="I2:L3"/>
  </mergeCells>
  <conditionalFormatting sqref="I12:I31">
    <cfRule type="expression" dxfId="0" priority="1">
      <formula>I12="Conferido"</formula>
    </cfRule>
  </conditionalFormatting>
  <dataValidations count="3">
    <dataValidation type="list" sqref="B12:B31" xr:uid="{00000000-0002-0000-0300-000000000000}">
      <formula1>INDIRECT("TABELAS!$A$2:$A$51")</formula1>
    </dataValidation>
    <dataValidation type="list" sqref="C12:C31" xr:uid="{00000000-0002-0000-0300-000001000000}">
      <formula1>"Informe bancário,Investimentos,Salários,Aposentadoria,Aluguéis,Outros"</formula1>
    </dataValidation>
    <dataValidation type="list" sqref="I12:I31" xr:uid="{00000000-0002-0000-0300-000002000000}">
      <formula1>"Pendente,Conferido,Revisar"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0"/>
  <sheetViews>
    <sheetView topLeftCell="A11" workbookViewId="0">
      <selection activeCell="A26" sqref="A26"/>
    </sheetView>
  </sheetViews>
  <sheetFormatPr baseColWidth="10" defaultColWidth="8.83203125" defaultRowHeight="15" x14ac:dyDescent="0.2"/>
  <cols>
    <col min="1" max="1" width="27" customWidth="1"/>
    <col min="2" max="2" width="18" customWidth="1"/>
    <col min="3" max="3" width="17" customWidth="1"/>
    <col min="4" max="4" width="19" customWidth="1"/>
    <col min="5" max="5" width="22" customWidth="1"/>
    <col min="6" max="6" width="17" customWidth="1"/>
    <col min="7" max="7" width="19" customWidth="1"/>
    <col min="8" max="8" width="17" customWidth="1"/>
    <col min="9" max="9" width="18" customWidth="1"/>
    <col min="10" max="11" width="17" customWidth="1"/>
    <col min="12" max="12" width="21" customWidth="1"/>
    <col min="13" max="13" width="3" customWidth="1"/>
  </cols>
  <sheetData>
    <row r="1" spans="1:13" ht="22.75" customHeight="1" x14ac:dyDescent="0.2">
      <c r="A1" s="54" t="e" vm="1">
        <v>#VALUE!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">
      <c r="A2" s="54"/>
      <c r="B2" s="41"/>
      <c r="C2" s="41"/>
      <c r="D2" s="41"/>
      <c r="E2" s="46" t="s">
        <v>50</v>
      </c>
      <c r="F2" s="47"/>
      <c r="G2" s="47"/>
      <c r="H2" s="47"/>
      <c r="I2" s="48" t="s">
        <v>51</v>
      </c>
      <c r="J2" s="49"/>
      <c r="K2" s="49"/>
      <c r="L2" s="49"/>
      <c r="M2" s="3"/>
    </row>
    <row r="3" spans="1:13" x14ac:dyDescent="0.2">
      <c r="A3" s="54"/>
      <c r="B3" s="41"/>
      <c r="C3" s="41"/>
      <c r="D3" s="41"/>
      <c r="E3" s="47"/>
      <c r="F3" s="47"/>
      <c r="G3" s="47"/>
      <c r="H3" s="47"/>
      <c r="I3" s="49"/>
      <c r="J3" s="49"/>
      <c r="K3" s="49"/>
      <c r="L3" s="49"/>
      <c r="M3" s="3"/>
    </row>
    <row r="4" spans="1:13" x14ac:dyDescent="0.2">
      <c r="A4" s="54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3"/>
    </row>
    <row r="5" spans="1:13" ht="16" customHeight="1" x14ac:dyDescent="0.2">
      <c r="A5" s="54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3"/>
    </row>
    <row r="6" spans="1:13" ht="34.75" customHeight="1" x14ac:dyDescent="0.2">
      <c r="A6" s="54"/>
      <c r="B6" s="5" t="s">
        <v>132</v>
      </c>
      <c r="C6" s="5"/>
      <c r="D6" s="5"/>
      <c r="E6" s="5"/>
      <c r="F6" s="5"/>
      <c r="G6" s="5"/>
      <c r="H6" s="5"/>
      <c r="I6" s="5"/>
      <c r="J6" s="5"/>
      <c r="K6" s="5"/>
      <c r="L6" s="5"/>
      <c r="M6" s="2"/>
    </row>
    <row r="7" spans="1:13" ht="34.75" customHeight="1" x14ac:dyDescent="0.2">
      <c r="A7" s="40" t="s">
        <v>52</v>
      </c>
      <c r="B7" s="58" t="s">
        <v>133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2"/>
    </row>
    <row r="8" spans="1:13" ht="13.25" customHeight="1" x14ac:dyDescent="0.2">
      <c r="A8" s="39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40" customHeight="1" x14ac:dyDescent="0.2">
      <c r="A9" s="45" t="str">
        <f>IFERROR(HYPERLINK("#'Início'!B10","INÍCIO"),"INÍCIO")</f>
        <v>INÍCIO</v>
      </c>
      <c r="B9" s="19" t="s">
        <v>134</v>
      </c>
      <c r="C9" s="19"/>
      <c r="D9" s="19"/>
      <c r="E9" s="19"/>
      <c r="F9" s="19"/>
      <c r="G9" s="19"/>
      <c r="H9" s="19" t="s">
        <v>135</v>
      </c>
      <c r="I9" s="19"/>
      <c r="J9" s="19"/>
      <c r="K9" s="19"/>
      <c r="L9" s="19"/>
      <c r="M9" s="2"/>
    </row>
    <row r="10" spans="1:13" x14ac:dyDescent="0.2">
      <c r="A10" s="39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2" customHeight="1" x14ac:dyDescent="0.2">
      <c r="A11" s="39"/>
      <c r="B11" s="21" t="s">
        <v>136</v>
      </c>
      <c r="C11" s="21" t="s">
        <v>137</v>
      </c>
      <c r="D11" s="21" t="s">
        <v>125</v>
      </c>
      <c r="E11" s="21" t="s">
        <v>138</v>
      </c>
      <c r="F11" s="21" t="s">
        <v>139</v>
      </c>
      <c r="G11" s="21" t="s">
        <v>140</v>
      </c>
      <c r="H11" s="2"/>
      <c r="I11" s="2"/>
      <c r="J11" s="2"/>
      <c r="K11" s="2"/>
      <c r="L11" s="2"/>
      <c r="M11" s="2"/>
    </row>
    <row r="12" spans="1:13" ht="40" customHeight="1" x14ac:dyDescent="0.2">
      <c r="A12" s="45" t="str">
        <f>IFERROR(HYPERLINK("#'Transações'!B10","TRANSAÇÕES"),"TRANSAÇÕES")</f>
        <v>TRANSAÇÕES</v>
      </c>
      <c r="B12" s="6">
        <v>1</v>
      </c>
      <c r="C12" s="6" t="s">
        <v>141</v>
      </c>
      <c r="D12" s="24">
        <f>SUMIFS(Transações!$F$12:$F$215,Transações!$C$12:$C$215,"Rendimento",Transações!$B$12:$B$215,"&gt;="&amp;DATE(Início!$L$10,$B12,1),Transações!$B$12:$B$215,"&lt;"&amp;EDATE(DATE(Início!$L$10,$B12,1),1))</f>
        <v>0</v>
      </c>
      <c r="E12" s="24">
        <f>SUMIFS(Transações!$F$12:$F$215,Transações!$C$12:$C$215,"Despesa dedutível",Transações!$B$12:$B$215,"&gt;="&amp;DATE(Início!$L$10,$B12,1),Transações!$B$12:$B$215,"&lt;"&amp;EDATE(DATE(Início!$L$10,$B12,1),1))</f>
        <v>146</v>
      </c>
      <c r="F12" s="24">
        <f>SUMIFS(Transações!$F$12:$F$215,Transações!$C$12:$C$215,"Despesa não dedutível",Transações!$B$12:$B$215,"&gt;="&amp;DATE(Início!$L$10,$B12,1),Transações!$B$12:$B$215,"&lt;"&amp;EDATE(DATE(Início!$L$10,$B12,1),1))</f>
        <v>0</v>
      </c>
      <c r="G12" s="24">
        <f t="shared" ref="G12:G23" si="0">D12-E12-F12</f>
        <v>-146</v>
      </c>
      <c r="H12" s="2"/>
      <c r="I12" s="2"/>
      <c r="J12" s="2"/>
      <c r="K12" s="2"/>
      <c r="L12" s="2"/>
      <c r="M12" s="2"/>
    </row>
    <row r="13" spans="1:13" ht="13.25" customHeight="1" x14ac:dyDescent="0.2">
      <c r="A13" s="39"/>
      <c r="B13" s="8">
        <v>2</v>
      </c>
      <c r="C13" s="8" t="s">
        <v>142</v>
      </c>
      <c r="D13" s="33">
        <f>SUMIFS(Transações!$F$12:$F$215,Transações!$C$12:$C$215,"Rendimento",Transações!$B$12:$B$215,"&gt;="&amp;DATE(Início!$L$10,$B13,1),Transações!$B$12:$B$215,"&lt;"&amp;EDATE(DATE(Início!$L$10,$B13,1),1))</f>
        <v>0</v>
      </c>
      <c r="E13" s="33">
        <f>SUMIFS(Transações!$F$12:$F$215,Transações!$C$12:$C$215,"Despesa dedutível",Transações!$B$12:$B$215,"&gt;="&amp;DATE(Início!$L$10,$B13,1),Transações!$B$12:$B$215,"&lt;"&amp;EDATE(DATE(Início!$L$10,$B13,1),1))</f>
        <v>0</v>
      </c>
      <c r="F13" s="33">
        <f>SUMIFS(Transações!$F$12:$F$215,Transações!$C$12:$C$215,"Despesa não dedutível",Transações!$B$12:$B$215,"&gt;="&amp;DATE(Início!$L$10,$B13,1),Transações!$B$12:$B$215,"&lt;"&amp;EDATE(DATE(Início!$L$10,$B13,1),1))</f>
        <v>0</v>
      </c>
      <c r="G13" s="33">
        <f t="shared" si="0"/>
        <v>0</v>
      </c>
      <c r="H13" s="2"/>
      <c r="I13" s="2"/>
      <c r="J13" s="2"/>
      <c r="K13" s="2"/>
      <c r="L13" s="2"/>
      <c r="M13" s="2"/>
    </row>
    <row r="14" spans="1:13" ht="32" customHeight="1" x14ac:dyDescent="0.2">
      <c r="A14" s="39"/>
      <c r="B14" s="6">
        <v>3</v>
      </c>
      <c r="C14" s="6" t="s">
        <v>143</v>
      </c>
      <c r="D14" s="24">
        <f>SUMIFS(Transações!$F$12:$F$215,Transações!$C$12:$C$215,"Rendimento",Transações!$B$12:$B$215,"&gt;="&amp;DATE(Início!$L$10,$B14,1),Transações!$B$12:$B$215,"&lt;"&amp;EDATE(DATE(Início!$L$10,$B14,1),1))</f>
        <v>0</v>
      </c>
      <c r="E14" s="24">
        <f>SUMIFS(Transações!$F$12:$F$215,Transações!$C$12:$C$215,"Despesa dedutível",Transações!$B$12:$B$215,"&gt;="&amp;DATE(Início!$L$10,$B14,1),Transações!$B$12:$B$215,"&lt;"&amp;EDATE(DATE(Início!$L$10,$B14,1),1))</f>
        <v>0</v>
      </c>
      <c r="F14" s="24">
        <f>SUMIFS(Transações!$F$12:$F$215,Transações!$C$12:$C$215,"Despesa não dedutível",Transações!$B$12:$B$215,"&gt;="&amp;DATE(Início!$L$10,$B14,1),Transações!$B$12:$B$215,"&lt;"&amp;EDATE(DATE(Início!$L$10,$B14,1),1))</f>
        <v>0</v>
      </c>
      <c r="G14" s="24">
        <f t="shared" si="0"/>
        <v>0</v>
      </c>
      <c r="H14" s="2"/>
      <c r="I14" s="2"/>
      <c r="J14" s="2"/>
      <c r="K14" s="2"/>
      <c r="L14" s="2"/>
      <c r="M14" s="2"/>
    </row>
    <row r="15" spans="1:13" ht="40" customHeight="1" x14ac:dyDescent="0.2">
      <c r="A15" s="45" t="str">
        <f>IFERROR(HYPERLINK("#'Dados Pessoais'!B10","DADOS PESSOAIS"),"DADOS PESSOAIS")</f>
        <v>DADOS PESSOAIS</v>
      </c>
      <c r="B15" s="8">
        <v>4</v>
      </c>
      <c r="C15" s="8" t="s">
        <v>144</v>
      </c>
      <c r="D15" s="33">
        <f>SUMIFS(Transações!$F$12:$F$215,Transações!$C$12:$C$215,"Rendimento",Transações!$B$12:$B$215,"&gt;="&amp;DATE(Início!$L$10,$B15,1),Transações!$B$12:$B$215,"&lt;"&amp;EDATE(DATE(Início!$L$10,$B15,1),1))</f>
        <v>0</v>
      </c>
      <c r="E15" s="33">
        <f>SUMIFS(Transações!$F$12:$F$215,Transações!$C$12:$C$215,"Despesa dedutível",Transações!$B$12:$B$215,"&gt;="&amp;DATE(Início!$L$10,$B15,1),Transações!$B$12:$B$215,"&lt;"&amp;EDATE(DATE(Início!$L$10,$B15,1),1))</f>
        <v>0</v>
      </c>
      <c r="F15" s="33">
        <f>SUMIFS(Transações!$F$12:$F$215,Transações!$C$12:$C$215,"Despesa não dedutível",Transações!$B$12:$B$215,"&gt;="&amp;DATE(Início!$L$10,$B15,1),Transações!$B$12:$B$215,"&lt;"&amp;EDATE(DATE(Início!$L$10,$B15,1),1))</f>
        <v>0</v>
      </c>
      <c r="G15" s="33">
        <f t="shared" si="0"/>
        <v>0</v>
      </c>
      <c r="H15" s="2"/>
      <c r="I15" s="2"/>
      <c r="J15" s="2"/>
      <c r="K15" s="2"/>
      <c r="L15" s="2"/>
      <c r="M15" s="2"/>
    </row>
    <row r="16" spans="1:13" ht="13.25" customHeight="1" x14ac:dyDescent="0.2">
      <c r="A16" s="39"/>
      <c r="B16" s="6">
        <v>5</v>
      </c>
      <c r="C16" s="6" t="s">
        <v>145</v>
      </c>
      <c r="D16" s="24">
        <f>SUMIFS(Transações!$F$12:$F$215,Transações!$C$12:$C$215,"Rendimento",Transações!$B$12:$B$215,"&gt;="&amp;DATE(Início!$L$10,$B16,1),Transações!$B$12:$B$215,"&lt;"&amp;EDATE(DATE(Início!$L$10,$B16,1),1))</f>
        <v>0</v>
      </c>
      <c r="E16" s="24">
        <f>SUMIFS(Transações!$F$12:$F$215,Transações!$C$12:$C$215,"Despesa dedutível",Transações!$B$12:$B$215,"&gt;="&amp;DATE(Início!$L$10,$B16,1),Transações!$B$12:$B$215,"&lt;"&amp;EDATE(DATE(Início!$L$10,$B16,1),1))</f>
        <v>0</v>
      </c>
      <c r="F16" s="24">
        <f>SUMIFS(Transações!$F$12:$F$215,Transações!$C$12:$C$215,"Despesa não dedutível",Transações!$B$12:$B$215,"&gt;="&amp;DATE(Início!$L$10,$B16,1),Transações!$B$12:$B$215,"&lt;"&amp;EDATE(DATE(Início!$L$10,$B16,1),1))</f>
        <v>0</v>
      </c>
      <c r="G16" s="24">
        <f t="shared" si="0"/>
        <v>0</v>
      </c>
      <c r="H16" s="2"/>
      <c r="I16" s="2"/>
      <c r="J16" s="2"/>
      <c r="K16" s="2"/>
      <c r="L16" s="2"/>
      <c r="M16" s="2"/>
    </row>
    <row r="17" spans="1:13" ht="33.25" customHeight="1" x14ac:dyDescent="0.2">
      <c r="A17" s="39"/>
      <c r="B17" s="8">
        <v>6</v>
      </c>
      <c r="C17" s="8" t="s">
        <v>146</v>
      </c>
      <c r="D17" s="33">
        <f>SUMIFS(Transações!$F$12:$F$215,Transações!$C$12:$C$215,"Rendimento",Transações!$B$12:$B$215,"&gt;="&amp;DATE(Início!$L$10,$B17,1),Transações!$B$12:$B$215,"&lt;"&amp;EDATE(DATE(Início!$L$10,$B17,1),1))</f>
        <v>0</v>
      </c>
      <c r="E17" s="33">
        <f>SUMIFS(Transações!$F$12:$F$215,Transações!$C$12:$C$215,"Despesa dedutível",Transações!$B$12:$B$215,"&gt;="&amp;DATE(Início!$L$10,$B17,1),Transações!$B$12:$B$215,"&lt;"&amp;EDATE(DATE(Início!$L$10,$B17,1),1))</f>
        <v>0</v>
      </c>
      <c r="F17" s="33">
        <f>SUMIFS(Transações!$F$12:$F$215,Transações!$C$12:$C$215,"Despesa não dedutível",Transações!$B$12:$B$215,"&gt;="&amp;DATE(Início!$L$10,$B17,1),Transações!$B$12:$B$215,"&lt;"&amp;EDATE(DATE(Início!$L$10,$B17,1),1))</f>
        <v>0</v>
      </c>
      <c r="G17" s="33">
        <f t="shared" si="0"/>
        <v>0</v>
      </c>
      <c r="H17" s="2"/>
      <c r="I17" s="2"/>
      <c r="J17" s="2"/>
      <c r="K17" s="2"/>
      <c r="L17" s="2"/>
      <c r="M17" s="2"/>
    </row>
    <row r="18" spans="1:13" ht="40" customHeight="1" x14ac:dyDescent="0.2">
      <c r="A18" s="45" t="str">
        <f>IFERROR(HYPERLINK("#'INFORMES'!B10","INFORMES"),"INFORMES")</f>
        <v>INFORMES</v>
      </c>
      <c r="B18" s="6">
        <v>7</v>
      </c>
      <c r="C18" s="6" t="s">
        <v>147</v>
      </c>
      <c r="D18" s="24">
        <f>SUMIFS(Transações!$F$12:$F$215,Transações!$C$12:$C$215,"Rendimento",Transações!$B$12:$B$215,"&gt;="&amp;DATE(Início!$L$10,$B18,1),Transações!$B$12:$B$215,"&lt;"&amp;EDATE(DATE(Início!$L$10,$B18,1),1))</f>
        <v>0</v>
      </c>
      <c r="E18" s="24">
        <f>SUMIFS(Transações!$F$12:$F$215,Transações!$C$12:$C$215,"Despesa dedutível",Transações!$B$12:$B$215,"&gt;="&amp;DATE(Início!$L$10,$B18,1),Transações!$B$12:$B$215,"&lt;"&amp;EDATE(DATE(Início!$L$10,$B18,1),1))</f>
        <v>0</v>
      </c>
      <c r="F18" s="24">
        <f>SUMIFS(Transações!$F$12:$F$215,Transações!$C$12:$C$215,"Despesa não dedutível",Transações!$B$12:$B$215,"&gt;="&amp;DATE(Início!$L$10,$B18,1),Transações!$B$12:$B$215,"&lt;"&amp;EDATE(DATE(Início!$L$10,$B18,1),1))</f>
        <v>0</v>
      </c>
      <c r="G18" s="24">
        <f t="shared" si="0"/>
        <v>0</v>
      </c>
      <c r="H18" s="2"/>
      <c r="I18" s="2"/>
      <c r="J18" s="2"/>
      <c r="K18" s="2"/>
      <c r="L18" s="2"/>
      <c r="M18" s="2"/>
    </row>
    <row r="19" spans="1:13" ht="13.25" customHeight="1" x14ac:dyDescent="0.2">
      <c r="A19" s="39"/>
      <c r="B19" s="8">
        <v>8</v>
      </c>
      <c r="C19" s="8" t="s">
        <v>148</v>
      </c>
      <c r="D19" s="33">
        <f>SUMIFS(Transações!$F$12:$F$215,Transações!$C$12:$C$215,"Rendimento",Transações!$B$12:$B$215,"&gt;="&amp;DATE(Início!$L$10,$B19,1),Transações!$B$12:$B$215,"&lt;"&amp;EDATE(DATE(Início!$L$10,$B19,1),1))</f>
        <v>0</v>
      </c>
      <c r="E19" s="33">
        <f>SUMIFS(Transações!$F$12:$F$215,Transações!$C$12:$C$215,"Despesa dedutível",Transações!$B$12:$B$215,"&gt;="&amp;DATE(Início!$L$10,$B19,1),Transações!$B$12:$B$215,"&lt;"&amp;EDATE(DATE(Início!$L$10,$B19,1),1))</f>
        <v>0</v>
      </c>
      <c r="F19" s="33">
        <f>SUMIFS(Transações!$F$12:$F$215,Transações!$C$12:$C$215,"Despesa não dedutível",Transações!$B$12:$B$215,"&gt;="&amp;DATE(Início!$L$10,$B19,1),Transações!$B$12:$B$215,"&lt;"&amp;EDATE(DATE(Início!$L$10,$B19,1),1))</f>
        <v>0</v>
      </c>
      <c r="G19" s="33">
        <f t="shared" si="0"/>
        <v>0</v>
      </c>
      <c r="H19" s="2"/>
      <c r="I19" s="2"/>
      <c r="J19" s="2"/>
      <c r="K19" s="2"/>
      <c r="L19" s="2"/>
      <c r="M19" s="2"/>
    </row>
    <row r="20" spans="1:13" ht="33.25" customHeight="1" x14ac:dyDescent="0.2">
      <c r="A20" s="39"/>
      <c r="B20" s="6">
        <v>9</v>
      </c>
      <c r="C20" s="6" t="s">
        <v>149</v>
      </c>
      <c r="D20" s="24">
        <f>SUMIFS(Transações!$F$12:$F$215,Transações!$C$12:$C$215,"Rendimento",Transações!$B$12:$B$215,"&gt;="&amp;DATE(Início!$L$10,$B20,1),Transações!$B$12:$B$215,"&lt;"&amp;EDATE(DATE(Início!$L$10,$B20,1),1))</f>
        <v>0</v>
      </c>
      <c r="E20" s="24">
        <f>SUMIFS(Transações!$F$12:$F$215,Transações!$C$12:$C$215,"Despesa dedutível",Transações!$B$12:$B$215,"&gt;="&amp;DATE(Início!$L$10,$B20,1),Transações!$B$12:$B$215,"&lt;"&amp;EDATE(DATE(Início!$L$10,$B20,1),1))</f>
        <v>0</v>
      </c>
      <c r="F20" s="24">
        <f>SUMIFS(Transações!$F$12:$F$215,Transações!$C$12:$C$215,"Despesa não dedutível",Transações!$B$12:$B$215,"&gt;="&amp;DATE(Início!$L$10,$B20,1),Transações!$B$12:$B$215,"&lt;"&amp;EDATE(DATE(Início!$L$10,$B20,1),1))</f>
        <v>0</v>
      </c>
      <c r="G20" s="24">
        <f t="shared" si="0"/>
        <v>0</v>
      </c>
      <c r="H20" s="2"/>
      <c r="I20" s="2"/>
      <c r="J20" s="2"/>
      <c r="K20" s="2"/>
      <c r="L20" s="2"/>
      <c r="M20" s="2"/>
    </row>
    <row r="21" spans="1:13" ht="40" customHeight="1" x14ac:dyDescent="0.2">
      <c r="A21" s="42" t="str">
        <f>IFERROR(HYPERLINK("#'Relatórios'!B10","RELATÓRIOS"),"RELATÓRIOS")</f>
        <v>RELATÓRIOS</v>
      </c>
      <c r="B21" s="8">
        <v>10</v>
      </c>
      <c r="C21" s="8" t="s">
        <v>150</v>
      </c>
      <c r="D21" s="33">
        <f>SUMIFS(Transações!$F$12:$F$215,Transações!$C$12:$C$215,"Rendimento",Transações!$B$12:$B$215,"&gt;="&amp;DATE(Início!$L$10,$B21,1),Transações!$B$12:$B$215,"&lt;"&amp;EDATE(DATE(Início!$L$10,$B21,1),1))</f>
        <v>1615</v>
      </c>
      <c r="E21" s="33">
        <f>SUMIFS(Transações!$F$12:$F$215,Transações!$C$12:$C$215,"Despesa dedutível",Transações!$B$12:$B$215,"&gt;="&amp;DATE(Início!$L$10,$B21,1),Transações!$B$12:$B$215,"&lt;"&amp;EDATE(DATE(Início!$L$10,$B21,1),1))</f>
        <v>465</v>
      </c>
      <c r="F21" s="33">
        <f>SUMIFS(Transações!$F$12:$F$215,Transações!$C$12:$C$215,"Despesa não dedutível",Transações!$B$12:$B$215,"&gt;="&amp;DATE(Início!$L$10,$B21,1),Transações!$B$12:$B$215,"&lt;"&amp;EDATE(DATE(Início!$L$10,$B21,1),1))</f>
        <v>0</v>
      </c>
      <c r="G21" s="33">
        <f t="shared" si="0"/>
        <v>1150</v>
      </c>
      <c r="H21" s="2"/>
      <c r="I21" s="2"/>
      <c r="J21" s="2"/>
      <c r="K21" s="2"/>
      <c r="L21" s="2"/>
      <c r="M21" s="2"/>
    </row>
    <row r="22" spans="1:13" ht="13.25" customHeight="1" x14ac:dyDescent="0.2">
      <c r="A22" s="39"/>
      <c r="B22" s="6">
        <v>11</v>
      </c>
      <c r="C22" s="6" t="s">
        <v>151</v>
      </c>
      <c r="D22" s="24">
        <f>SUMIFS(Transações!$F$12:$F$215,Transações!$C$12:$C$215,"Rendimento",Transações!$B$12:$B$215,"&gt;="&amp;DATE(Início!$L$10,$B22,1),Transações!$B$12:$B$215,"&lt;"&amp;EDATE(DATE(Início!$L$10,$B22,1),1))</f>
        <v>0</v>
      </c>
      <c r="E22" s="24">
        <f>SUMIFS(Transações!$F$12:$F$215,Transações!$C$12:$C$215,"Despesa dedutível",Transações!$B$12:$B$215,"&gt;="&amp;DATE(Início!$L$10,$B22,1),Transações!$B$12:$B$215,"&lt;"&amp;EDATE(DATE(Início!$L$10,$B22,1),1))</f>
        <v>0</v>
      </c>
      <c r="F22" s="24">
        <f>SUMIFS(Transações!$F$12:$F$215,Transações!$C$12:$C$215,"Despesa não dedutível",Transações!$B$12:$B$215,"&gt;="&amp;DATE(Início!$L$10,$B22,1),Transações!$B$12:$B$215,"&lt;"&amp;EDATE(DATE(Início!$L$10,$B22,1),1))</f>
        <v>0</v>
      </c>
      <c r="G22" s="24">
        <f t="shared" si="0"/>
        <v>0</v>
      </c>
      <c r="H22" s="2"/>
      <c r="I22" s="2"/>
      <c r="J22" s="2"/>
      <c r="K22" s="2"/>
      <c r="L22" s="2"/>
      <c r="M22" s="2"/>
    </row>
    <row r="23" spans="1:13" ht="33.25" customHeight="1" x14ac:dyDescent="0.2">
      <c r="A23" s="39"/>
      <c r="B23" s="8">
        <v>12</v>
      </c>
      <c r="C23" s="8" t="s">
        <v>152</v>
      </c>
      <c r="D23" s="33">
        <f>SUMIFS(Transações!$F$12:$F$215,Transações!$C$12:$C$215,"Rendimento",Transações!$B$12:$B$215,"&gt;="&amp;DATE(Início!$L$10,$B23,1),Transações!$B$12:$B$215,"&lt;"&amp;EDATE(DATE(Início!$L$10,$B23,1),1))</f>
        <v>0</v>
      </c>
      <c r="E23" s="33">
        <f>SUMIFS(Transações!$F$12:$F$215,Transações!$C$12:$C$215,"Despesa dedutível",Transações!$B$12:$B$215,"&gt;="&amp;DATE(Início!$L$10,$B23,1),Transações!$B$12:$B$215,"&lt;"&amp;EDATE(DATE(Início!$L$10,$B23,1),1))</f>
        <v>0</v>
      </c>
      <c r="F23" s="33">
        <f>SUMIFS(Transações!$F$12:$F$215,Transações!$C$12:$C$215,"Despesa não dedutível",Transações!$B$12:$B$215,"&gt;="&amp;DATE(Início!$L$10,$B23,1),Transações!$B$12:$B$215,"&lt;"&amp;EDATE(DATE(Início!$L$10,$B23,1),1))</f>
        <v>0</v>
      </c>
      <c r="G23" s="33">
        <f t="shared" si="0"/>
        <v>0</v>
      </c>
      <c r="H23" s="2"/>
      <c r="I23" s="2"/>
      <c r="J23" s="2"/>
      <c r="K23" s="2"/>
      <c r="L23" s="2"/>
      <c r="M23" s="2"/>
    </row>
    <row r="24" spans="1:13" ht="40" customHeight="1" x14ac:dyDescent="0.2">
      <c r="A24" s="39"/>
      <c r="B24" s="2"/>
      <c r="C24" s="2"/>
      <c r="D24" s="30"/>
      <c r="E24" s="30"/>
      <c r="F24" s="30"/>
      <c r="G24" s="30"/>
      <c r="H24" s="2"/>
      <c r="I24" s="2"/>
      <c r="J24" s="2"/>
      <c r="K24" s="2"/>
      <c r="L24" s="2"/>
      <c r="M24" s="2"/>
    </row>
    <row r="25" spans="1:13" ht="33.25" customHeight="1" x14ac:dyDescent="0.2">
      <c r="A25" s="39"/>
      <c r="B25" s="13"/>
      <c r="C25" s="13" t="s">
        <v>153</v>
      </c>
      <c r="D25" s="32">
        <f>SUM(D12:D23)</f>
        <v>1615</v>
      </c>
      <c r="E25" s="32">
        <f>SUM(E12:E23)</f>
        <v>611</v>
      </c>
      <c r="F25" s="32">
        <f>SUM(F12:F23)</f>
        <v>0</v>
      </c>
      <c r="G25" s="32">
        <f>SUM(G12:G23)</f>
        <v>1004</v>
      </c>
      <c r="H25" s="2"/>
      <c r="I25" s="2"/>
      <c r="J25" s="2"/>
      <c r="K25" s="2"/>
      <c r="L25" s="2"/>
      <c r="M25" s="2"/>
    </row>
    <row r="26" spans="1:13" ht="33.25" customHeight="1" x14ac:dyDescent="0.2">
      <c r="A26" s="3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3.25" customHeight="1" x14ac:dyDescent="0.2">
      <c r="A27" s="39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32" customHeight="1" x14ac:dyDescent="0.2">
      <c r="A28" s="39"/>
      <c r="B28" s="68"/>
      <c r="C28" s="68"/>
      <c r="D28" s="68"/>
      <c r="E28" s="68"/>
      <c r="F28" s="68"/>
      <c r="G28" s="68"/>
      <c r="H28" s="2"/>
      <c r="I28" s="2"/>
      <c r="J28" s="2"/>
      <c r="K28" s="2"/>
      <c r="L28" s="2"/>
      <c r="M28" s="2"/>
    </row>
    <row r="29" spans="1:13" ht="32" customHeight="1" x14ac:dyDescent="0.2">
      <c r="A29" s="43" t="s">
        <v>67</v>
      </c>
      <c r="B29" s="18"/>
      <c r="C29" s="18"/>
      <c r="D29" s="18"/>
      <c r="E29" s="18"/>
      <c r="F29" s="18"/>
      <c r="G29" s="18"/>
      <c r="H29" s="2"/>
      <c r="I29" s="2"/>
      <c r="J29" s="2"/>
      <c r="K29" s="2"/>
      <c r="L29" s="2"/>
      <c r="M29" s="2"/>
    </row>
    <row r="30" spans="1:13" ht="32" customHeight="1" x14ac:dyDescent="0.2">
      <c r="A30" s="44" t="s">
        <v>68</v>
      </c>
      <c r="B30" s="18"/>
      <c r="C30" s="18"/>
      <c r="D30" s="18"/>
      <c r="E30" s="18"/>
      <c r="F30" s="18"/>
      <c r="G30" s="18"/>
      <c r="H30" s="2"/>
      <c r="I30" s="2"/>
      <c r="J30" s="2"/>
      <c r="K30" s="2"/>
      <c r="L30" s="2"/>
      <c r="M30" s="2"/>
    </row>
    <row r="31" spans="1:13" ht="32" customHeight="1" x14ac:dyDescent="0.2">
      <c r="A31" s="39"/>
      <c r="B31" s="18"/>
      <c r="C31" s="18"/>
      <c r="D31" s="18"/>
      <c r="E31" s="18"/>
      <c r="F31" s="18"/>
      <c r="G31" s="18"/>
      <c r="H31" s="2"/>
      <c r="I31" s="2"/>
      <c r="J31" s="2"/>
      <c r="K31" s="2"/>
      <c r="L31" s="2"/>
      <c r="M31" s="2"/>
    </row>
    <row r="32" spans="1:13" ht="32" customHeight="1" x14ac:dyDescent="0.2">
      <c r="A32" s="39"/>
      <c r="B32" s="2"/>
      <c r="C32" s="2"/>
      <c r="D32" s="2"/>
      <c r="E32" s="2"/>
      <c r="F32" s="2"/>
      <c r="G32" s="2"/>
      <c r="H32" s="19" t="s">
        <v>154</v>
      </c>
      <c r="I32" s="19"/>
      <c r="J32" s="19"/>
      <c r="K32" s="19"/>
      <c r="L32" s="19"/>
      <c r="M32" s="2"/>
    </row>
    <row r="33" spans="1:13" ht="32" customHeight="1" x14ac:dyDescent="0.2">
      <c r="A33" s="3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32" customHeight="1" x14ac:dyDescent="0.2">
      <c r="A34" s="39"/>
      <c r="B34" s="2"/>
      <c r="C34" s="2"/>
      <c r="D34" s="2"/>
      <c r="E34" s="2"/>
      <c r="F34" s="2"/>
      <c r="G34" s="2"/>
      <c r="H34" s="34" t="s">
        <v>155</v>
      </c>
      <c r="I34" s="34"/>
      <c r="J34" s="34"/>
      <c r="K34" s="35">
        <f>COUNTIF(Transações!I12:I215,"Falta comprovante")+COUNTIF(Transações!I12:I215,"Pendente")</f>
        <v>1</v>
      </c>
      <c r="L34" s="35"/>
      <c r="M34" s="2"/>
    </row>
    <row r="35" spans="1:13" ht="32" customHeight="1" x14ac:dyDescent="0.2">
      <c r="A35" s="39"/>
      <c r="B35" s="2"/>
      <c r="C35" s="2"/>
      <c r="D35" s="2"/>
      <c r="E35" s="2"/>
      <c r="F35" s="2"/>
      <c r="G35" s="2"/>
      <c r="H35" s="34"/>
      <c r="I35" s="34"/>
      <c r="J35" s="34"/>
      <c r="K35" s="35"/>
      <c r="L35" s="35"/>
      <c r="M35" s="2"/>
    </row>
    <row r="36" spans="1:13" ht="37.25" customHeight="1" x14ac:dyDescent="0.2">
      <c r="A36" s="3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32" customHeight="1" x14ac:dyDescent="0.2">
      <c r="A37" s="39"/>
      <c r="B37" s="2"/>
      <c r="C37" s="2"/>
      <c r="D37" s="2"/>
      <c r="E37" s="2"/>
      <c r="F37" s="2"/>
      <c r="G37" s="2"/>
      <c r="H37" s="53" t="s">
        <v>156</v>
      </c>
      <c r="I37" s="53"/>
      <c r="J37" s="53"/>
      <c r="K37" s="51">
        <f>COUNTIF(Transações!I12:I215,"Conferido")</f>
        <v>2</v>
      </c>
      <c r="L37" s="51"/>
      <c r="M37" s="2"/>
    </row>
    <row r="38" spans="1:13" ht="32" customHeight="1" x14ac:dyDescent="0.2">
      <c r="A38" s="39"/>
      <c r="B38" s="2"/>
      <c r="C38" s="2"/>
      <c r="D38" s="2"/>
      <c r="E38" s="2"/>
      <c r="F38" s="2"/>
      <c r="G38" s="2"/>
      <c r="H38" s="53"/>
      <c r="I38" s="53"/>
      <c r="J38" s="53"/>
      <c r="K38" s="51"/>
      <c r="L38" s="51"/>
      <c r="M38" s="2"/>
    </row>
    <row r="39" spans="1:13" ht="32" customHeight="1" x14ac:dyDescent="0.2">
      <c r="A39" s="39"/>
      <c r="M39" s="2"/>
    </row>
    <row r="40" spans="1:13" ht="32" customHeight="1" x14ac:dyDescent="0.2">
      <c r="A40" s="39"/>
      <c r="M40" s="2"/>
    </row>
    <row r="41" spans="1:13" ht="32" customHeight="1" x14ac:dyDescent="0.2">
      <c r="A41" s="39"/>
      <c r="M41" s="2"/>
    </row>
    <row r="42" spans="1:13" ht="32" customHeight="1" x14ac:dyDescent="0.2">
      <c r="A42" s="39"/>
      <c r="M42" s="2"/>
    </row>
    <row r="43" spans="1:13" ht="32" customHeight="1" x14ac:dyDescent="0.2">
      <c r="A43" s="3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32" customHeight="1" x14ac:dyDescent="0.2">
      <c r="A44" s="3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32" customHeight="1" x14ac:dyDescent="0.2">
      <c r="A45" s="3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2" customHeight="1" x14ac:dyDescent="0.2">
      <c r="A46" s="3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32" customHeight="1" x14ac:dyDescent="0.2">
      <c r="A47" s="3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32" customHeight="1" x14ac:dyDescent="0.2">
      <c r="A48" s="3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32" customHeight="1" x14ac:dyDescent="0.2">
      <c r="A49" s="3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32" customHeight="1" x14ac:dyDescent="0.2">
      <c r="A50" s="3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2" customHeight="1" x14ac:dyDescent="0.2">
      <c r="A51" s="3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32" customHeight="1" x14ac:dyDescent="0.2">
      <c r="A52" s="3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32" customHeight="1" x14ac:dyDescent="0.2">
      <c r="A53" s="3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32" customHeight="1" x14ac:dyDescent="0.2">
      <c r="A54" s="3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32" customHeight="1" x14ac:dyDescent="0.2">
      <c r="A55" s="3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32" customHeight="1" x14ac:dyDescent="0.2">
      <c r="A56" s="3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32" customHeight="1" x14ac:dyDescent="0.2">
      <c r="A57" s="3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32" customHeight="1" x14ac:dyDescent="0.2">
      <c r="A58" s="3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32" customHeight="1" x14ac:dyDescent="0.2">
      <c r="A59" s="3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32" customHeight="1" x14ac:dyDescent="0.2">
      <c r="A60" s="3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32" customHeight="1" x14ac:dyDescent="0.2">
      <c r="A61" s="3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32" customHeight="1" x14ac:dyDescent="0.2">
      <c r="A62" s="3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32" customHeight="1" x14ac:dyDescent="0.2">
      <c r="A63" s="3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32" customHeight="1" x14ac:dyDescent="0.2">
      <c r="A64" s="3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32" customHeight="1" x14ac:dyDescent="0.2">
      <c r="A65" s="3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32" customHeight="1" x14ac:dyDescent="0.2">
      <c r="A66" s="3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32" customHeight="1" x14ac:dyDescent="0.2">
      <c r="A67" s="3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32" customHeight="1" x14ac:dyDescent="0.2">
      <c r="A68" s="3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32" customHeight="1" x14ac:dyDescent="0.2">
      <c r="A69" s="3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32" customHeight="1" x14ac:dyDescent="0.2">
      <c r="A70" s="3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32" customHeight="1" x14ac:dyDescent="0.2">
      <c r="A71" s="3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32" customHeight="1" x14ac:dyDescent="0.2">
      <c r="A72" s="3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32" customHeight="1" x14ac:dyDescent="0.2">
      <c r="A73" s="3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32" customHeight="1" x14ac:dyDescent="0.2">
      <c r="A74" s="3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32" customHeight="1" x14ac:dyDescent="0.2">
      <c r="A75" s="3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32" customHeight="1" x14ac:dyDescent="0.2">
      <c r="A76" s="39"/>
    </row>
    <row r="77" spans="1:13" ht="32" customHeight="1" x14ac:dyDescent="0.2">
      <c r="A77" s="39"/>
    </row>
    <row r="78" spans="1:13" ht="32" customHeight="1" x14ac:dyDescent="0.2">
      <c r="A78" s="39"/>
    </row>
    <row r="79" spans="1:13" ht="32" customHeight="1" x14ac:dyDescent="0.2">
      <c r="A79" s="39"/>
    </row>
    <row r="80" spans="1:13" ht="32" customHeight="1" x14ac:dyDescent="0.2">
      <c r="A80" s="39"/>
    </row>
    <row r="81" spans="1:1" ht="32" customHeight="1" x14ac:dyDescent="0.2">
      <c r="A81" s="39"/>
    </row>
    <row r="82" spans="1:1" ht="32" customHeight="1" x14ac:dyDescent="0.2">
      <c r="A82" s="39"/>
    </row>
    <row r="83" spans="1:1" ht="32" customHeight="1" x14ac:dyDescent="0.2">
      <c r="A83" s="39"/>
    </row>
    <row r="84" spans="1:1" ht="32" customHeight="1" x14ac:dyDescent="0.2">
      <c r="A84" s="39"/>
    </row>
    <row r="85" spans="1:1" ht="32" customHeight="1" x14ac:dyDescent="0.2">
      <c r="A85" s="39"/>
    </row>
    <row r="86" spans="1:1" ht="32" customHeight="1" x14ac:dyDescent="0.2">
      <c r="A86" s="39"/>
    </row>
    <row r="87" spans="1:1" ht="32" customHeight="1" x14ac:dyDescent="0.2">
      <c r="A87" s="39"/>
    </row>
    <row r="88" spans="1:1" ht="32" customHeight="1" x14ac:dyDescent="0.2">
      <c r="A88" s="39"/>
    </row>
    <row r="89" spans="1:1" ht="32" customHeight="1" x14ac:dyDescent="0.2">
      <c r="A89" s="39"/>
    </row>
    <row r="90" spans="1:1" ht="32" customHeight="1" x14ac:dyDescent="0.2">
      <c r="A90" s="39"/>
    </row>
    <row r="91" spans="1:1" ht="32" customHeight="1" x14ac:dyDescent="0.2">
      <c r="A91" s="39"/>
    </row>
    <row r="92" spans="1:1" ht="32" customHeight="1" x14ac:dyDescent="0.2">
      <c r="A92" s="39"/>
    </row>
    <row r="93" spans="1:1" ht="32" customHeight="1" x14ac:dyDescent="0.2">
      <c r="A93" s="39"/>
    </row>
    <row r="94" spans="1:1" ht="32" customHeight="1" x14ac:dyDescent="0.2">
      <c r="A94" s="39"/>
    </row>
    <row r="95" spans="1:1" ht="32" customHeight="1" x14ac:dyDescent="0.2">
      <c r="A95" s="39"/>
    </row>
    <row r="96" spans="1:1" ht="32" customHeight="1" x14ac:dyDescent="0.2">
      <c r="A96" s="39"/>
    </row>
    <row r="97" spans="1:1" ht="32" customHeight="1" x14ac:dyDescent="0.2">
      <c r="A97" s="39"/>
    </row>
    <row r="98" spans="1:1" ht="32" customHeight="1" x14ac:dyDescent="0.2">
      <c r="A98" s="39"/>
    </row>
    <row r="99" spans="1:1" ht="32" customHeight="1" x14ac:dyDescent="0.2">
      <c r="A99" s="39"/>
    </row>
    <row r="100" spans="1:1" ht="32" customHeight="1" x14ac:dyDescent="0.2">
      <c r="A100" s="39"/>
    </row>
    <row r="101" spans="1:1" ht="32" customHeight="1" x14ac:dyDescent="0.2">
      <c r="A101" s="39"/>
    </row>
    <row r="102" spans="1:1" ht="32" customHeight="1" x14ac:dyDescent="0.2">
      <c r="A102" s="39"/>
    </row>
    <row r="103" spans="1:1" ht="32" customHeight="1" x14ac:dyDescent="0.2">
      <c r="A103" s="39"/>
    </row>
    <row r="104" spans="1:1" ht="32" customHeight="1" x14ac:dyDescent="0.2">
      <c r="A104" s="39"/>
    </row>
    <row r="105" spans="1:1" ht="32" customHeight="1" x14ac:dyDescent="0.2">
      <c r="A105" s="39"/>
    </row>
    <row r="106" spans="1:1" ht="32" customHeight="1" x14ac:dyDescent="0.2">
      <c r="A106" s="39"/>
    </row>
    <row r="107" spans="1:1" ht="32" customHeight="1" x14ac:dyDescent="0.2">
      <c r="A107" s="39"/>
    </row>
    <row r="108" spans="1:1" ht="32" customHeight="1" x14ac:dyDescent="0.2">
      <c r="A108" s="39"/>
    </row>
    <row r="109" spans="1:1" ht="32" customHeight="1" x14ac:dyDescent="0.2">
      <c r="A109" s="39"/>
    </row>
    <row r="110" spans="1:1" ht="32" customHeight="1" x14ac:dyDescent="0.2">
      <c r="A110" s="39"/>
    </row>
    <row r="111" spans="1:1" ht="32" customHeight="1" x14ac:dyDescent="0.2">
      <c r="A111" s="39"/>
    </row>
    <row r="112" spans="1:1" ht="32" customHeight="1" x14ac:dyDescent="0.2">
      <c r="A112" s="39"/>
    </row>
    <row r="113" spans="1:1" ht="32" customHeight="1" x14ac:dyDescent="0.2">
      <c r="A113" s="39"/>
    </row>
    <row r="114" spans="1:1" ht="32" customHeight="1" x14ac:dyDescent="0.2">
      <c r="A114" s="39"/>
    </row>
    <row r="115" spans="1:1" ht="32" customHeight="1" x14ac:dyDescent="0.2">
      <c r="A115" s="39"/>
    </row>
    <row r="116" spans="1:1" ht="32" customHeight="1" x14ac:dyDescent="0.2">
      <c r="A116" s="39"/>
    </row>
    <row r="117" spans="1:1" ht="32" customHeight="1" x14ac:dyDescent="0.2">
      <c r="A117" s="39"/>
    </row>
    <row r="118" spans="1:1" ht="32" customHeight="1" x14ac:dyDescent="0.2">
      <c r="A118" s="39"/>
    </row>
    <row r="119" spans="1:1" ht="32" customHeight="1" x14ac:dyDescent="0.2">
      <c r="A119" s="39"/>
    </row>
    <row r="120" spans="1:1" ht="32" customHeight="1" x14ac:dyDescent="0.2">
      <c r="A120" s="39"/>
    </row>
    <row r="121" spans="1:1" ht="32" customHeight="1" x14ac:dyDescent="0.2">
      <c r="A121" s="39"/>
    </row>
    <row r="122" spans="1:1" ht="32" customHeight="1" x14ac:dyDescent="0.2">
      <c r="A122" s="39"/>
    </row>
    <row r="123" spans="1:1" ht="32" customHeight="1" x14ac:dyDescent="0.2">
      <c r="A123" s="39"/>
    </row>
    <row r="124" spans="1:1" ht="32" customHeight="1" x14ac:dyDescent="0.2">
      <c r="A124" s="39"/>
    </row>
    <row r="125" spans="1:1" ht="32" customHeight="1" x14ac:dyDescent="0.2">
      <c r="A125" s="39"/>
    </row>
    <row r="126" spans="1:1" ht="32" customHeight="1" x14ac:dyDescent="0.2">
      <c r="A126" s="39"/>
    </row>
    <row r="127" spans="1:1" ht="32" customHeight="1" x14ac:dyDescent="0.2">
      <c r="A127" s="39"/>
    </row>
    <row r="128" spans="1:1" ht="32" customHeight="1" x14ac:dyDescent="0.2">
      <c r="A128" s="39"/>
    </row>
    <row r="129" spans="1:1" ht="32" customHeight="1" x14ac:dyDescent="0.2">
      <c r="A129" s="39"/>
    </row>
    <row r="130" spans="1:1" ht="32" customHeight="1" x14ac:dyDescent="0.2">
      <c r="A130" s="39"/>
    </row>
    <row r="131" spans="1:1" ht="32" customHeight="1" x14ac:dyDescent="0.2">
      <c r="A131" s="39"/>
    </row>
    <row r="132" spans="1:1" ht="32" customHeight="1" x14ac:dyDescent="0.2">
      <c r="A132" s="39"/>
    </row>
    <row r="133" spans="1:1" ht="32" customHeight="1" x14ac:dyDescent="0.2">
      <c r="A133" s="39"/>
    </row>
    <row r="134" spans="1:1" ht="32" customHeight="1" x14ac:dyDescent="0.2">
      <c r="A134" s="39"/>
    </row>
    <row r="135" spans="1:1" ht="32" customHeight="1" x14ac:dyDescent="0.2">
      <c r="A135" s="39"/>
    </row>
    <row r="136" spans="1:1" ht="32" customHeight="1" x14ac:dyDescent="0.2">
      <c r="A136" s="39"/>
    </row>
    <row r="137" spans="1:1" ht="32" customHeight="1" x14ac:dyDescent="0.2">
      <c r="A137" s="39"/>
    </row>
    <row r="138" spans="1:1" ht="32" customHeight="1" x14ac:dyDescent="0.2">
      <c r="A138" s="39"/>
    </row>
    <row r="139" spans="1:1" ht="32" customHeight="1" x14ac:dyDescent="0.2">
      <c r="A139" s="39"/>
    </row>
    <row r="140" spans="1:1" ht="32" customHeight="1" x14ac:dyDescent="0.2">
      <c r="A140" s="39"/>
    </row>
    <row r="141" spans="1:1" ht="32" customHeight="1" x14ac:dyDescent="0.2">
      <c r="A141" s="39"/>
    </row>
    <row r="142" spans="1:1" ht="32" customHeight="1" x14ac:dyDescent="0.2">
      <c r="A142" s="39"/>
    </row>
    <row r="143" spans="1:1" ht="32" customHeight="1" x14ac:dyDescent="0.2">
      <c r="A143" s="39"/>
    </row>
    <row r="144" spans="1:1" ht="32" customHeight="1" x14ac:dyDescent="0.2">
      <c r="A144" s="39"/>
    </row>
    <row r="145" spans="1:1" ht="32" customHeight="1" x14ac:dyDescent="0.2">
      <c r="A145" s="39"/>
    </row>
    <row r="146" spans="1:1" ht="32" customHeight="1" x14ac:dyDescent="0.2">
      <c r="A146" s="39"/>
    </row>
    <row r="147" spans="1:1" ht="32" customHeight="1" x14ac:dyDescent="0.2">
      <c r="A147" s="39"/>
    </row>
    <row r="148" spans="1:1" ht="32" customHeight="1" x14ac:dyDescent="0.2">
      <c r="A148" s="39"/>
    </row>
    <row r="149" spans="1:1" ht="32" customHeight="1" x14ac:dyDescent="0.2">
      <c r="A149" s="39"/>
    </row>
    <row r="150" spans="1:1" ht="32" customHeight="1" x14ac:dyDescent="0.2">
      <c r="A150" s="39"/>
    </row>
    <row r="151" spans="1:1" ht="32" customHeight="1" x14ac:dyDescent="0.2">
      <c r="A151" s="39"/>
    </row>
    <row r="152" spans="1:1" ht="32" customHeight="1" x14ac:dyDescent="0.2">
      <c r="A152" s="39"/>
    </row>
    <row r="153" spans="1:1" ht="32" customHeight="1" x14ac:dyDescent="0.2">
      <c r="A153" s="39"/>
    </row>
    <row r="154" spans="1:1" ht="32" customHeight="1" x14ac:dyDescent="0.2">
      <c r="A154" s="39"/>
    </row>
    <row r="155" spans="1:1" ht="32" customHeight="1" x14ac:dyDescent="0.2">
      <c r="A155" s="39"/>
    </row>
    <row r="156" spans="1:1" ht="32" customHeight="1" x14ac:dyDescent="0.2">
      <c r="A156" s="39"/>
    </row>
    <row r="157" spans="1:1" ht="32" customHeight="1" x14ac:dyDescent="0.2">
      <c r="A157" s="39"/>
    </row>
    <row r="158" spans="1:1" ht="32" customHeight="1" x14ac:dyDescent="0.2">
      <c r="A158" s="39"/>
    </row>
    <row r="159" spans="1:1" ht="32" customHeight="1" x14ac:dyDescent="0.2">
      <c r="A159" s="39"/>
    </row>
    <row r="160" spans="1:1" ht="32" customHeight="1" x14ac:dyDescent="0.2">
      <c r="A160" s="39"/>
    </row>
    <row r="161" spans="1:1" ht="32" customHeight="1" x14ac:dyDescent="0.2">
      <c r="A161" s="39"/>
    </row>
    <row r="162" spans="1:1" ht="32" customHeight="1" x14ac:dyDescent="0.2">
      <c r="A162" s="39"/>
    </row>
    <row r="163" spans="1:1" ht="32" customHeight="1" x14ac:dyDescent="0.2">
      <c r="A163" s="39"/>
    </row>
    <row r="164" spans="1:1" ht="32" customHeight="1" x14ac:dyDescent="0.2">
      <c r="A164" s="39"/>
    </row>
    <row r="165" spans="1:1" ht="32" customHeight="1" x14ac:dyDescent="0.2">
      <c r="A165" s="39"/>
    </row>
    <row r="166" spans="1:1" ht="32" customHeight="1" x14ac:dyDescent="0.2">
      <c r="A166" s="39"/>
    </row>
    <row r="167" spans="1:1" ht="32" customHeight="1" x14ac:dyDescent="0.2">
      <c r="A167" s="39"/>
    </row>
    <row r="168" spans="1:1" ht="32" customHeight="1" x14ac:dyDescent="0.2">
      <c r="A168" s="39"/>
    </row>
    <row r="169" spans="1:1" ht="32" customHeight="1" x14ac:dyDescent="0.2">
      <c r="A169" s="39"/>
    </row>
    <row r="170" spans="1:1" ht="32" customHeight="1" x14ac:dyDescent="0.2">
      <c r="A170" s="39"/>
    </row>
    <row r="171" spans="1:1" ht="32" customHeight="1" x14ac:dyDescent="0.2">
      <c r="A171" s="39"/>
    </row>
    <row r="172" spans="1:1" ht="32" customHeight="1" x14ac:dyDescent="0.2">
      <c r="A172" s="39"/>
    </row>
    <row r="173" spans="1:1" ht="32" customHeight="1" x14ac:dyDescent="0.2">
      <c r="A173" s="39"/>
    </row>
    <row r="174" spans="1:1" ht="32" customHeight="1" x14ac:dyDescent="0.2">
      <c r="A174" s="39"/>
    </row>
    <row r="175" spans="1:1" ht="32" customHeight="1" x14ac:dyDescent="0.2">
      <c r="A175" s="39"/>
    </row>
    <row r="176" spans="1:1" ht="32" customHeight="1" x14ac:dyDescent="0.2">
      <c r="A176" s="39"/>
    </row>
    <row r="177" spans="1:1" ht="32" customHeight="1" x14ac:dyDescent="0.2">
      <c r="A177" s="39"/>
    </row>
    <row r="178" spans="1:1" ht="32" customHeight="1" x14ac:dyDescent="0.2">
      <c r="A178" s="39"/>
    </row>
    <row r="179" spans="1:1" ht="32" customHeight="1" x14ac:dyDescent="0.2">
      <c r="A179" s="39"/>
    </row>
    <row r="180" spans="1:1" ht="32" customHeight="1" x14ac:dyDescent="0.2">
      <c r="A180" s="39"/>
    </row>
    <row r="181" spans="1:1" ht="32" customHeight="1" x14ac:dyDescent="0.2">
      <c r="A181" s="39"/>
    </row>
    <row r="182" spans="1:1" ht="32" customHeight="1" x14ac:dyDescent="0.2">
      <c r="A182" s="39"/>
    </row>
    <row r="183" spans="1:1" ht="32" customHeight="1" x14ac:dyDescent="0.2">
      <c r="A183" s="39"/>
    </row>
    <row r="184" spans="1:1" ht="32" customHeight="1" x14ac:dyDescent="0.2">
      <c r="A184" s="39"/>
    </row>
    <row r="185" spans="1:1" ht="32" customHeight="1" x14ac:dyDescent="0.2">
      <c r="A185" s="39"/>
    </row>
    <row r="186" spans="1:1" ht="32" customHeight="1" x14ac:dyDescent="0.2">
      <c r="A186" s="39"/>
    </row>
    <row r="187" spans="1:1" ht="32" customHeight="1" x14ac:dyDescent="0.2">
      <c r="A187" s="39"/>
    </row>
    <row r="188" spans="1:1" ht="32" customHeight="1" x14ac:dyDescent="0.2">
      <c r="A188" s="39"/>
    </row>
    <row r="189" spans="1:1" ht="32" customHeight="1" x14ac:dyDescent="0.2">
      <c r="A189" s="39"/>
    </row>
    <row r="190" spans="1:1" ht="32" customHeight="1" x14ac:dyDescent="0.2">
      <c r="A190" s="39"/>
    </row>
    <row r="191" spans="1:1" ht="32" customHeight="1" x14ac:dyDescent="0.2">
      <c r="A191" s="39"/>
    </row>
    <row r="192" spans="1:1" ht="32" customHeight="1" x14ac:dyDescent="0.2">
      <c r="A192" s="39"/>
    </row>
    <row r="193" spans="1:1" ht="32" customHeight="1" x14ac:dyDescent="0.2">
      <c r="A193" s="39"/>
    </row>
    <row r="194" spans="1:1" ht="32" customHeight="1" x14ac:dyDescent="0.2">
      <c r="A194" s="39"/>
    </row>
    <row r="195" spans="1:1" ht="32" customHeight="1" x14ac:dyDescent="0.2">
      <c r="A195" s="39"/>
    </row>
    <row r="196" spans="1:1" ht="32" customHeight="1" x14ac:dyDescent="0.2">
      <c r="A196" s="39"/>
    </row>
    <row r="197" spans="1:1" ht="32" customHeight="1" x14ac:dyDescent="0.2">
      <c r="A197" s="39"/>
    </row>
    <row r="198" spans="1:1" ht="32" customHeight="1" x14ac:dyDescent="0.2">
      <c r="A198" s="39"/>
    </row>
    <row r="199" spans="1:1" ht="32" customHeight="1" x14ac:dyDescent="0.2">
      <c r="A199" s="39"/>
    </row>
    <row r="200" spans="1:1" ht="32" customHeight="1" x14ac:dyDescent="0.2">
      <c r="A200" s="39"/>
    </row>
    <row r="201" spans="1:1" ht="32" customHeight="1" x14ac:dyDescent="0.2">
      <c r="A201" s="39"/>
    </row>
    <row r="202" spans="1:1" ht="32" customHeight="1" x14ac:dyDescent="0.2">
      <c r="A202" s="39"/>
    </row>
    <row r="203" spans="1:1" ht="32" customHeight="1" x14ac:dyDescent="0.2">
      <c r="A203" s="39"/>
    </row>
    <row r="204" spans="1:1" ht="32" customHeight="1" x14ac:dyDescent="0.2">
      <c r="A204" s="39"/>
    </row>
    <row r="205" spans="1:1" ht="32" customHeight="1" x14ac:dyDescent="0.2">
      <c r="A205" s="39"/>
    </row>
    <row r="206" spans="1:1" ht="32" customHeight="1" x14ac:dyDescent="0.2">
      <c r="A206" s="39"/>
    </row>
    <row r="207" spans="1:1" ht="32" customHeight="1" x14ac:dyDescent="0.2">
      <c r="A207" s="39"/>
    </row>
    <row r="208" spans="1:1" ht="32" customHeight="1" x14ac:dyDescent="0.2">
      <c r="A208" s="39"/>
    </row>
    <row r="209" spans="1:1" ht="32" customHeight="1" x14ac:dyDescent="0.2">
      <c r="A209" s="39"/>
    </row>
    <row r="210" spans="1:1" ht="32" customHeight="1" x14ac:dyDescent="0.2">
      <c r="A210" s="39"/>
    </row>
    <row r="211" spans="1:1" ht="32" customHeight="1" x14ac:dyDescent="0.2">
      <c r="A211" s="39"/>
    </row>
    <row r="212" spans="1:1" ht="32" customHeight="1" x14ac:dyDescent="0.2">
      <c r="A212" s="39"/>
    </row>
    <row r="213" spans="1:1" ht="32" customHeight="1" x14ac:dyDescent="0.2">
      <c r="A213" s="39"/>
    </row>
    <row r="214" spans="1:1" ht="32" customHeight="1" x14ac:dyDescent="0.2">
      <c r="A214" s="39"/>
    </row>
    <row r="215" spans="1:1" ht="32" customHeight="1" x14ac:dyDescent="0.2">
      <c r="A215" s="39"/>
    </row>
    <row r="216" spans="1:1" ht="32" customHeight="1" x14ac:dyDescent="0.2">
      <c r="A216" s="39"/>
    </row>
    <row r="217" spans="1:1" ht="32" customHeight="1" x14ac:dyDescent="0.2">
      <c r="A217" s="39"/>
    </row>
    <row r="218" spans="1:1" ht="32" customHeight="1" x14ac:dyDescent="0.2">
      <c r="A218" s="39"/>
    </row>
    <row r="219" spans="1:1" ht="32" customHeight="1" x14ac:dyDescent="0.2">
      <c r="A219" s="39"/>
    </row>
    <row r="220" spans="1:1" ht="32" customHeight="1" x14ac:dyDescent="0.2">
      <c r="A220" s="39"/>
    </row>
    <row r="221" spans="1:1" ht="32" customHeight="1" x14ac:dyDescent="0.2"/>
    <row r="222" spans="1:1" ht="32" customHeight="1" x14ac:dyDescent="0.2"/>
    <row r="223" spans="1:1" ht="32" customHeight="1" x14ac:dyDescent="0.2"/>
    <row r="224" spans="1:1" ht="32" customHeight="1" x14ac:dyDescent="0.2"/>
    <row r="225" ht="32" customHeight="1" x14ac:dyDescent="0.2"/>
    <row r="226" ht="32" customHeight="1" x14ac:dyDescent="0.2"/>
    <row r="227" ht="32" customHeight="1" x14ac:dyDescent="0.2"/>
    <row r="228" ht="32" customHeight="1" x14ac:dyDescent="0.2"/>
    <row r="229" ht="32" customHeight="1" x14ac:dyDescent="0.2"/>
    <row r="230" ht="32" customHeight="1" x14ac:dyDescent="0.2"/>
  </sheetData>
  <mergeCells count="6">
    <mergeCell ref="A1:A6"/>
    <mergeCell ref="B28:G28"/>
    <mergeCell ref="H37:J38"/>
    <mergeCell ref="K37:L38"/>
    <mergeCell ref="E2:H3"/>
    <mergeCell ref="I2:L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1"/>
  <sheetViews>
    <sheetView showGridLines="0" workbookViewId="0">
      <selection activeCell="E19" sqref="E19"/>
    </sheetView>
  </sheetViews>
  <sheetFormatPr baseColWidth="10" defaultColWidth="8.83203125" defaultRowHeight="15" x14ac:dyDescent="0.2"/>
  <cols>
    <col min="1" max="1" width="37.1640625" customWidth="1"/>
    <col min="3" max="7" width="25" customWidth="1"/>
  </cols>
  <sheetData>
    <row r="1" spans="1:7" ht="33" customHeight="1" x14ac:dyDescent="0.2">
      <c r="A1" s="36" t="s">
        <v>157</v>
      </c>
      <c r="C1" s="36" t="s">
        <v>158</v>
      </c>
      <c r="D1" s="36" t="s">
        <v>159</v>
      </c>
      <c r="E1" s="36" t="s">
        <v>160</v>
      </c>
      <c r="F1" s="36" t="s">
        <v>96</v>
      </c>
      <c r="G1" s="36" t="s">
        <v>97</v>
      </c>
    </row>
    <row r="2" spans="1:7" x14ac:dyDescent="0.2">
      <c r="A2" s="22" t="s">
        <v>0</v>
      </c>
      <c r="C2" s="37" t="s">
        <v>161</v>
      </c>
      <c r="D2" s="37" t="s">
        <v>162</v>
      </c>
      <c r="E2" s="37" t="s">
        <v>163</v>
      </c>
      <c r="F2" s="37" t="s">
        <v>164</v>
      </c>
      <c r="G2" s="37" t="s">
        <v>165</v>
      </c>
    </row>
    <row r="3" spans="1:7" x14ac:dyDescent="0.2">
      <c r="A3" s="22" t="s">
        <v>1</v>
      </c>
      <c r="C3" s="37" t="s">
        <v>166</v>
      </c>
      <c r="D3" s="37" t="s">
        <v>167</v>
      </c>
      <c r="E3" s="37" t="s">
        <v>168</v>
      </c>
      <c r="F3" s="37" t="s">
        <v>169</v>
      </c>
      <c r="G3" s="37" t="s">
        <v>170</v>
      </c>
    </row>
    <row r="4" spans="1:7" x14ac:dyDescent="0.2">
      <c r="A4" s="22" t="s">
        <v>2</v>
      </c>
      <c r="C4" s="37" t="s">
        <v>171</v>
      </c>
      <c r="D4" s="37" t="s">
        <v>172</v>
      </c>
      <c r="E4" s="37" t="s">
        <v>173</v>
      </c>
      <c r="F4" s="37" t="s">
        <v>174</v>
      </c>
      <c r="G4" s="37" t="s">
        <v>175</v>
      </c>
    </row>
    <row r="5" spans="1:7" x14ac:dyDescent="0.2">
      <c r="A5" s="22" t="s">
        <v>3</v>
      </c>
      <c r="C5" s="37" t="s">
        <v>176</v>
      </c>
      <c r="D5" s="37" t="s">
        <v>177</v>
      </c>
      <c r="E5" s="37" t="s">
        <v>178</v>
      </c>
      <c r="F5" s="37" t="s">
        <v>179</v>
      </c>
      <c r="G5" s="37" t="s">
        <v>180</v>
      </c>
    </row>
    <row r="6" spans="1:7" x14ac:dyDescent="0.2">
      <c r="A6" s="22" t="s">
        <v>4</v>
      </c>
      <c r="D6" s="37" t="s">
        <v>181</v>
      </c>
      <c r="F6" s="37" t="s">
        <v>182</v>
      </c>
      <c r="G6" s="37" t="s">
        <v>183</v>
      </c>
    </row>
    <row r="7" spans="1:7" x14ac:dyDescent="0.2">
      <c r="A7" s="22" t="s">
        <v>5</v>
      </c>
      <c r="D7" s="37" t="s">
        <v>184</v>
      </c>
      <c r="F7" s="37" t="s">
        <v>185</v>
      </c>
      <c r="G7" s="37" t="s">
        <v>186</v>
      </c>
    </row>
    <row r="8" spans="1:7" x14ac:dyDescent="0.2">
      <c r="A8" s="22" t="s">
        <v>6</v>
      </c>
      <c r="D8" s="37" t="s">
        <v>187</v>
      </c>
      <c r="G8" s="37" t="s">
        <v>188</v>
      </c>
    </row>
    <row r="9" spans="1:7" x14ac:dyDescent="0.2">
      <c r="A9" s="22" t="s">
        <v>7</v>
      </c>
      <c r="D9" s="37" t="s">
        <v>189</v>
      </c>
      <c r="G9" s="37" t="s">
        <v>190</v>
      </c>
    </row>
    <row r="10" spans="1:7" x14ac:dyDescent="0.2">
      <c r="A10" s="22" t="s">
        <v>8</v>
      </c>
      <c r="D10" s="37" t="s">
        <v>191</v>
      </c>
      <c r="G10" s="37" t="s">
        <v>192</v>
      </c>
    </row>
    <row r="11" spans="1:7" x14ac:dyDescent="0.2">
      <c r="A11" s="22" t="s">
        <v>9</v>
      </c>
      <c r="D11" s="37" t="s">
        <v>193</v>
      </c>
      <c r="G11" s="37" t="s">
        <v>194</v>
      </c>
    </row>
    <row r="12" spans="1:7" x14ac:dyDescent="0.2">
      <c r="A12" s="22" t="s">
        <v>10</v>
      </c>
      <c r="D12" s="37" t="s">
        <v>195</v>
      </c>
      <c r="G12" s="37" t="s">
        <v>196</v>
      </c>
    </row>
    <row r="13" spans="1:7" x14ac:dyDescent="0.2">
      <c r="A13" s="22" t="s">
        <v>11</v>
      </c>
      <c r="D13" s="37" t="s">
        <v>197</v>
      </c>
      <c r="G13" s="37" t="s">
        <v>198</v>
      </c>
    </row>
    <row r="14" spans="1:7" x14ac:dyDescent="0.2">
      <c r="A14" s="22" t="s">
        <v>12</v>
      </c>
      <c r="G14" s="37" t="s">
        <v>199</v>
      </c>
    </row>
    <row r="15" spans="1:7" x14ac:dyDescent="0.2">
      <c r="A15" s="22" t="s">
        <v>13</v>
      </c>
      <c r="G15" s="37" t="s">
        <v>200</v>
      </c>
    </row>
    <row r="16" spans="1:7" x14ac:dyDescent="0.2">
      <c r="A16" s="22" t="s">
        <v>14</v>
      </c>
      <c r="G16" s="37" t="s">
        <v>201</v>
      </c>
    </row>
    <row r="17" spans="1:7" x14ac:dyDescent="0.2">
      <c r="A17" s="22" t="s">
        <v>15</v>
      </c>
      <c r="G17" s="37" t="s">
        <v>202</v>
      </c>
    </row>
    <row r="18" spans="1:7" x14ac:dyDescent="0.2">
      <c r="A18" s="22" t="s">
        <v>16</v>
      </c>
      <c r="G18" s="37" t="s">
        <v>203</v>
      </c>
    </row>
    <row r="19" spans="1:7" x14ac:dyDescent="0.2">
      <c r="A19" s="22" t="s">
        <v>17</v>
      </c>
      <c r="G19" s="37" t="s">
        <v>204</v>
      </c>
    </row>
    <row r="20" spans="1:7" x14ac:dyDescent="0.2">
      <c r="A20" s="22" t="s">
        <v>18</v>
      </c>
      <c r="G20" s="37" t="s">
        <v>205</v>
      </c>
    </row>
    <row r="21" spans="1:7" x14ac:dyDescent="0.2">
      <c r="A21" s="22" t="s">
        <v>19</v>
      </c>
      <c r="G21" s="37" t="s">
        <v>206</v>
      </c>
    </row>
    <row r="22" spans="1:7" x14ac:dyDescent="0.2">
      <c r="A22" s="22" t="s">
        <v>20</v>
      </c>
      <c r="G22" s="37" t="s">
        <v>207</v>
      </c>
    </row>
    <row r="23" spans="1:7" x14ac:dyDescent="0.2">
      <c r="A23" s="22" t="s">
        <v>21</v>
      </c>
      <c r="G23" s="37" t="s">
        <v>208</v>
      </c>
    </row>
    <row r="24" spans="1:7" x14ac:dyDescent="0.2">
      <c r="A24" s="22" t="s">
        <v>22</v>
      </c>
      <c r="G24" s="37" t="s">
        <v>209</v>
      </c>
    </row>
    <row r="25" spans="1:7" x14ac:dyDescent="0.2">
      <c r="A25" s="22" t="s">
        <v>23</v>
      </c>
      <c r="G25" s="37" t="s">
        <v>210</v>
      </c>
    </row>
    <row r="26" spans="1:7" x14ac:dyDescent="0.2">
      <c r="A26" s="22" t="s">
        <v>24</v>
      </c>
      <c r="G26" s="37" t="s">
        <v>211</v>
      </c>
    </row>
    <row r="27" spans="1:7" x14ac:dyDescent="0.2">
      <c r="A27" s="22" t="s">
        <v>25</v>
      </c>
      <c r="G27" s="37" t="s">
        <v>212</v>
      </c>
    </row>
    <row r="28" spans="1:7" x14ac:dyDescent="0.2">
      <c r="A28" s="22" t="s">
        <v>26</v>
      </c>
      <c r="G28" s="37" t="s">
        <v>213</v>
      </c>
    </row>
    <row r="29" spans="1:7" x14ac:dyDescent="0.2">
      <c r="A29" s="22" t="s">
        <v>27</v>
      </c>
    </row>
    <row r="30" spans="1:7" x14ac:dyDescent="0.2">
      <c r="A30" s="22" t="s">
        <v>28</v>
      </c>
    </row>
    <row r="31" spans="1:7" x14ac:dyDescent="0.2">
      <c r="A31" s="22" t="s">
        <v>29</v>
      </c>
    </row>
    <row r="32" spans="1:7" x14ac:dyDescent="0.2">
      <c r="A32" s="22" t="s">
        <v>30</v>
      </c>
    </row>
    <row r="33" spans="1:1" x14ac:dyDescent="0.2">
      <c r="A33" s="22" t="s">
        <v>31</v>
      </c>
    </row>
    <row r="34" spans="1:1" x14ac:dyDescent="0.2">
      <c r="A34" s="22" t="s">
        <v>32</v>
      </c>
    </row>
    <row r="35" spans="1:1" x14ac:dyDescent="0.2">
      <c r="A35" s="22" t="s">
        <v>33</v>
      </c>
    </row>
    <row r="36" spans="1:1" x14ac:dyDescent="0.2">
      <c r="A36" s="22" t="s">
        <v>34</v>
      </c>
    </row>
    <row r="37" spans="1:1" x14ac:dyDescent="0.2">
      <c r="A37" s="22" t="s">
        <v>35</v>
      </c>
    </row>
    <row r="38" spans="1:1" x14ac:dyDescent="0.2">
      <c r="A38" s="22" t="s">
        <v>36</v>
      </c>
    </row>
    <row r="39" spans="1:1" x14ac:dyDescent="0.2">
      <c r="A39" s="22" t="s">
        <v>37</v>
      </c>
    </row>
    <row r="40" spans="1:1" x14ac:dyDescent="0.2">
      <c r="A40" s="22" t="s">
        <v>38</v>
      </c>
    </row>
    <row r="41" spans="1:1" x14ac:dyDescent="0.2">
      <c r="A41" s="22" t="s">
        <v>39</v>
      </c>
    </row>
    <row r="42" spans="1:1" x14ac:dyDescent="0.2">
      <c r="A42" s="22" t="s">
        <v>40</v>
      </c>
    </row>
    <row r="43" spans="1:1" x14ac:dyDescent="0.2">
      <c r="A43" s="22" t="s">
        <v>41</v>
      </c>
    </row>
    <row r="44" spans="1:1" x14ac:dyDescent="0.2">
      <c r="A44" s="22" t="s">
        <v>42</v>
      </c>
    </row>
    <row r="45" spans="1:1" x14ac:dyDescent="0.2">
      <c r="A45" s="22" t="s">
        <v>43</v>
      </c>
    </row>
    <row r="46" spans="1:1" x14ac:dyDescent="0.2">
      <c r="A46" s="22" t="s">
        <v>44</v>
      </c>
    </row>
    <row r="47" spans="1:1" x14ac:dyDescent="0.2">
      <c r="A47" s="22" t="s">
        <v>45</v>
      </c>
    </row>
    <row r="48" spans="1:1" x14ac:dyDescent="0.2">
      <c r="A48" s="22" t="s">
        <v>46</v>
      </c>
    </row>
    <row r="49" spans="1:1" x14ac:dyDescent="0.2">
      <c r="A49" s="22" t="s">
        <v>47</v>
      </c>
    </row>
    <row r="50" spans="1:1" x14ac:dyDescent="0.2">
      <c r="A50" s="22" t="s">
        <v>48</v>
      </c>
    </row>
    <row r="51" spans="1:1" x14ac:dyDescent="0.2">
      <c r="A51" s="2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Início</vt:lpstr>
      <vt:lpstr>Transações</vt:lpstr>
      <vt:lpstr>Dados Pessoais</vt:lpstr>
      <vt:lpstr>INFORMES</vt:lpstr>
      <vt:lpstr>Relatórios</vt:lpstr>
      <vt:lpstr>TABELAS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Imaculada de Souza Saqueto</cp:lastModifiedBy>
  <dcterms:modified xsi:type="dcterms:W3CDTF">2026-10-15T19:44:04Z</dcterms:modified>
</cp:coreProperties>
</file>